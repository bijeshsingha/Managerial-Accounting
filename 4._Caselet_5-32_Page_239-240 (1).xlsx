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kachra\Downloads\"/>
    </mc:Choice>
  </mc:AlternateContent>
  <xr:revisionPtr revIDLastSave="0" documentId="13_ncr:1_{83EFF217-F83E-4918-A6F6-1EF8CB15E8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B16" i="1"/>
  <c r="C15" i="1"/>
  <c r="D15" i="1"/>
  <c r="B15" i="1"/>
  <c r="C14" i="1"/>
  <c r="D14" i="1"/>
  <c r="B14" i="1"/>
  <c r="K14" i="1"/>
  <c r="L14" i="1"/>
  <c r="J14" i="1"/>
  <c r="L12" i="1"/>
  <c r="K12" i="1"/>
  <c r="J12" i="1"/>
  <c r="L13" i="1"/>
  <c r="K13" i="1"/>
  <c r="J13" i="1"/>
  <c r="L6" i="1"/>
  <c r="E10" i="1"/>
  <c r="E9" i="1"/>
  <c r="E7" i="1"/>
  <c r="E8" i="1"/>
  <c r="C8" i="1"/>
  <c r="D8" i="1"/>
  <c r="B8" i="1"/>
  <c r="C7" i="1"/>
  <c r="D7" i="1"/>
  <c r="B7" i="1"/>
  <c r="C6" i="1"/>
  <c r="D6" i="1"/>
  <c r="E6" i="1" s="1"/>
  <c r="B6" i="1"/>
</calcChain>
</file>

<file path=xl/sharedStrings.xml><?xml version="1.0" encoding="utf-8"?>
<sst xmlns="http://schemas.openxmlformats.org/spreadsheetml/2006/main" count="30" uniqueCount="27">
  <si>
    <t>Velcro</t>
  </si>
  <si>
    <t>Metal</t>
  </si>
  <si>
    <t>Nylon</t>
  </si>
  <si>
    <t>Variable exp per unit</t>
  </si>
  <si>
    <t>TFC</t>
  </si>
  <si>
    <t>Unit Selling price</t>
  </si>
  <si>
    <t>Annual sales volume</t>
  </si>
  <si>
    <t>Total sales</t>
  </si>
  <si>
    <t>Total variables by volume</t>
  </si>
  <si>
    <t>Contribution</t>
  </si>
  <si>
    <t>OP profit</t>
  </si>
  <si>
    <t>Q1</t>
  </si>
  <si>
    <t xml:space="preserve">Break even point is </t>
  </si>
  <si>
    <t>Q2</t>
  </si>
  <si>
    <t>Fix cost Per Range</t>
  </si>
  <si>
    <t>TfC (Rent Utility)</t>
  </si>
  <si>
    <t>Break  even sales per category</t>
  </si>
  <si>
    <t>Veclro</t>
  </si>
  <si>
    <t xml:space="preserve">Breakeven point in sales </t>
  </si>
  <si>
    <t>Contribution/Total Sales</t>
  </si>
  <si>
    <t>CMR</t>
  </si>
  <si>
    <t>TFC/CMR</t>
  </si>
  <si>
    <t>Vc/unit</t>
  </si>
  <si>
    <t>Sales/unit</t>
  </si>
  <si>
    <t>Fixed cost split</t>
  </si>
  <si>
    <t>Break even in unit sales</t>
  </si>
  <si>
    <t>sales at break even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</si>
</sst>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6"/>
  <sheetViews>
    <sheetView tabSelected="1" zoomScale="160" zoomScaleNormal="160" workbookViewId="0">
      <selection activeCell="G12" sqref="G12"/>
    </sheetView>
  </sheetViews>
  <sheetFormatPr defaultRowHeight="15" x14ac:dyDescent="0.25"/>
  <cols>
    <col min="1" max="1" width="24" bestFit="1" customWidth="1"/>
    <col min="10" max="10" width="18.5703125" bestFit="1" customWidth="1"/>
    <col min="13" max="13" width="23.42578125" bestFit="1" customWidth="1"/>
  </cols>
  <sheetData>
    <row r="2" spans="1:14" x14ac:dyDescent="0.25">
      <c r="B2" t="s">
        <v>0</v>
      </c>
      <c r="C2" t="s">
        <v>1</v>
      </c>
      <c r="D2" t="s">
        <v>2</v>
      </c>
      <c r="I2" t="s">
        <v>4</v>
      </c>
      <c r="J2">
        <v>400000</v>
      </c>
      <c r="M2" t="s">
        <v>18</v>
      </c>
      <c r="N2" t="s">
        <v>19</v>
      </c>
    </row>
    <row r="3" spans="1:14" x14ac:dyDescent="0.25">
      <c r="A3" t="s">
        <v>6</v>
      </c>
      <c r="B3">
        <v>100000</v>
      </c>
      <c r="C3">
        <v>200000</v>
      </c>
      <c r="D3">
        <v>400000</v>
      </c>
    </row>
    <row r="4" spans="1:14" x14ac:dyDescent="0.25">
      <c r="A4" t="s">
        <v>5</v>
      </c>
      <c r="B4">
        <v>1.65</v>
      </c>
      <c r="C4">
        <v>1.5</v>
      </c>
      <c r="D4">
        <v>0.85</v>
      </c>
    </row>
    <row r="5" spans="1:14" x14ac:dyDescent="0.25">
      <c r="A5" t="s">
        <v>3</v>
      </c>
      <c r="B5">
        <v>1.25</v>
      </c>
      <c r="C5">
        <v>0.7</v>
      </c>
      <c r="D5">
        <v>0.25</v>
      </c>
    </row>
    <row r="6" spans="1:14" x14ac:dyDescent="0.25">
      <c r="A6" t="s">
        <v>7</v>
      </c>
      <c r="B6">
        <f>B4*B3</f>
        <v>165000</v>
      </c>
      <c r="C6">
        <f t="shared" ref="C6:D6" si="0">C4*C3</f>
        <v>300000</v>
      </c>
      <c r="D6">
        <f t="shared" si="0"/>
        <v>340000</v>
      </c>
      <c r="E6" s="1">
        <f>B6+C6+D6</f>
        <v>805000</v>
      </c>
      <c r="I6" t="s">
        <v>11</v>
      </c>
      <c r="J6" t="s">
        <v>12</v>
      </c>
      <c r="K6" t="s">
        <v>21</v>
      </c>
      <c r="L6">
        <f>J2/E10</f>
        <v>731818.18181818177</v>
      </c>
    </row>
    <row r="7" spans="1:14" x14ac:dyDescent="0.25">
      <c r="A7" t="s">
        <v>8</v>
      </c>
      <c r="B7">
        <f>B5*B3</f>
        <v>125000</v>
      </c>
      <c r="C7">
        <f t="shared" ref="C7:D7" si="1">C5*C3</f>
        <v>140000</v>
      </c>
      <c r="D7">
        <f t="shared" si="1"/>
        <v>100000</v>
      </c>
      <c r="E7" s="1">
        <f>B7+C7+D7</f>
        <v>365000</v>
      </c>
    </row>
    <row r="8" spans="1:14" x14ac:dyDescent="0.25">
      <c r="A8" t="s">
        <v>9</v>
      </c>
      <c r="B8">
        <f>B6-B7</f>
        <v>40000</v>
      </c>
      <c r="C8">
        <f t="shared" ref="C8:D8" si="2">C6-C7</f>
        <v>160000</v>
      </c>
      <c r="D8">
        <f t="shared" si="2"/>
        <v>240000</v>
      </c>
      <c r="E8">
        <f>B8+ C8+D8</f>
        <v>440000</v>
      </c>
    </row>
    <row r="9" spans="1:14" x14ac:dyDescent="0.25">
      <c r="A9" t="s">
        <v>10</v>
      </c>
      <c r="E9" s="2">
        <f>E6-E7-E8</f>
        <v>0</v>
      </c>
      <c r="I9" t="s">
        <v>13</v>
      </c>
      <c r="J9" s="3" t="s">
        <v>16</v>
      </c>
      <c r="K9" s="3"/>
      <c r="L9" s="3"/>
    </row>
    <row r="10" spans="1:14" x14ac:dyDescent="0.25">
      <c r="A10" t="s">
        <v>20</v>
      </c>
      <c r="E10">
        <f>E8/E6</f>
        <v>0.54658385093167705</v>
      </c>
    </row>
    <row r="11" spans="1:14" x14ac:dyDescent="0.25">
      <c r="A11" t="s">
        <v>14</v>
      </c>
      <c r="B11">
        <v>20000</v>
      </c>
      <c r="C11">
        <v>60000</v>
      </c>
      <c r="D11">
        <v>80000</v>
      </c>
      <c r="J11" t="s">
        <v>17</v>
      </c>
      <c r="K11" t="s">
        <v>1</v>
      </c>
      <c r="L11" t="s">
        <v>2</v>
      </c>
    </row>
    <row r="12" spans="1:14" x14ac:dyDescent="0.25">
      <c r="A12" t="s">
        <v>15</v>
      </c>
      <c r="B12" s="3">
        <v>240000</v>
      </c>
      <c r="C12" s="3"/>
      <c r="D12" s="3"/>
      <c r="I12" t="s">
        <v>23</v>
      </c>
      <c r="J12">
        <f t="shared" ref="J12:L13" si="3">B4</f>
        <v>1.65</v>
      </c>
      <c r="K12">
        <f t="shared" si="3"/>
        <v>1.5</v>
      </c>
      <c r="L12">
        <f t="shared" si="3"/>
        <v>0.85</v>
      </c>
    </row>
    <row r="13" spans="1:14" x14ac:dyDescent="0.25">
      <c r="I13" t="s">
        <v>22</v>
      </c>
      <c r="J13">
        <f t="shared" si="3"/>
        <v>1.25</v>
      </c>
      <c r="K13">
        <f t="shared" si="3"/>
        <v>0.7</v>
      </c>
      <c r="L13">
        <f t="shared" si="3"/>
        <v>0.25</v>
      </c>
    </row>
    <row r="14" spans="1:14" x14ac:dyDescent="0.25">
      <c r="A14" t="s">
        <v>24</v>
      </c>
      <c r="B14">
        <f>B8-B11</f>
        <v>20000</v>
      </c>
      <c r="C14">
        <f t="shared" ref="C14:D14" si="4">C8-C11</f>
        <v>100000</v>
      </c>
      <c r="D14">
        <f t="shared" si="4"/>
        <v>160000</v>
      </c>
      <c r="I14" t="s">
        <v>9</v>
      </c>
      <c r="J14">
        <f>J12-J13</f>
        <v>0.39999999999999991</v>
      </c>
      <c r="K14">
        <f t="shared" ref="K14:L14" si="5">K12-K13</f>
        <v>0.8</v>
      </c>
      <c r="L14">
        <f t="shared" si="5"/>
        <v>0.6</v>
      </c>
    </row>
    <row r="15" spans="1:14" x14ac:dyDescent="0.25">
      <c r="A15" t="s">
        <v>25</v>
      </c>
      <c r="B15">
        <f>B14/(B8/B3)</f>
        <v>50000</v>
      </c>
      <c r="C15">
        <f t="shared" ref="C15:D15" si="6">C14/(C8/C3)</f>
        <v>125000</v>
      </c>
      <c r="D15">
        <f t="shared" si="6"/>
        <v>266666.66666666669</v>
      </c>
    </row>
    <row r="16" spans="1:14" x14ac:dyDescent="0.25">
      <c r="A16" t="s">
        <v>26</v>
      </c>
      <c r="B16">
        <f>B15*B4</f>
        <v>82500</v>
      </c>
      <c r="C16">
        <f t="shared" ref="C16:D16" si="7">C15*C4</f>
        <v>187500</v>
      </c>
      <c r="D16">
        <f t="shared" si="7"/>
        <v>226666.66666666669</v>
      </c>
    </row>
  </sheetData>
  <mergeCells count="2">
    <mergeCell ref="B12:D12"/>
    <mergeCell ref="J9:L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 jain</dc:creator>
  <cp:lastModifiedBy>Bijesh Singha</cp:lastModifiedBy>
  <dcterms:created xsi:type="dcterms:W3CDTF">2015-06-05T18:17:20Z</dcterms:created>
  <dcterms:modified xsi:type="dcterms:W3CDTF">2025-07-21T17:22:12Z</dcterms:modified>
</cp:coreProperties>
</file>