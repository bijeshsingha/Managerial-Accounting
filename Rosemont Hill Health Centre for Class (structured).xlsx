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chra\Downloads\"/>
    </mc:Choice>
  </mc:AlternateContent>
  <xr:revisionPtr revIDLastSave="0" documentId="13_ncr:1_{2BD2AD19-6D9E-499B-B00A-86E1A30A82E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hibit 1" sheetId="6" r:id="rId1"/>
    <sheet name="Exhibit 2" sheetId="4" r:id="rId2"/>
    <sheet name="Exhibit 3" sheetId="5" r:id="rId3"/>
    <sheet name="Allocation" sheetId="7" r:id="rId4"/>
    <sheet name="Reciprocal Method" sheetId="8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7" l="1"/>
  <c r="R7" i="7"/>
  <c r="O5" i="7"/>
  <c r="O4" i="7"/>
  <c r="O3" i="7"/>
  <c r="O2" i="7"/>
  <c r="Y47" i="7"/>
  <c r="Q6" i="7"/>
  <c r="Q8" i="7"/>
  <c r="Q9" i="7"/>
  <c r="Q12" i="7"/>
  <c r="D5" i="5"/>
  <c r="D6" i="5"/>
  <c r="D7" i="5"/>
  <c r="D10" i="5"/>
  <c r="D11" i="5"/>
  <c r="D4" i="5"/>
  <c r="I5" i="7" l="1"/>
  <c r="I4" i="7"/>
  <c r="Y50" i="7"/>
  <c r="Y49" i="7"/>
  <c r="Y48" i="7"/>
  <c r="Z48" i="7" s="1"/>
  <c r="L6" i="7"/>
  <c r="L7" i="7"/>
  <c r="L8" i="7"/>
  <c r="L9" i="7"/>
  <c r="L12" i="7"/>
  <c r="H7" i="7"/>
  <c r="H3" i="7"/>
  <c r="H4" i="7"/>
  <c r="H5" i="7"/>
  <c r="H6" i="7"/>
  <c r="H8" i="7"/>
  <c r="H2" i="7"/>
  <c r="G7" i="7"/>
  <c r="G8" i="7"/>
  <c r="G3" i="7"/>
  <c r="G4" i="7"/>
  <c r="G5" i="7"/>
  <c r="G6" i="7"/>
  <c r="G2" i="7"/>
  <c r="AC32" i="7"/>
  <c r="Y29" i="7"/>
  <c r="X29" i="7"/>
  <c r="Z34" i="7"/>
  <c r="Z33" i="7"/>
  <c r="Z32" i="7"/>
  <c r="Y27" i="7"/>
  <c r="X27" i="7"/>
  <c r="I2" i="7" l="1"/>
  <c r="I3" i="7"/>
  <c r="X28" i="7"/>
  <c r="Z26" i="7"/>
  <c r="Y26" i="7"/>
  <c r="X26" i="7"/>
  <c r="F3" i="7"/>
  <c r="F4" i="7"/>
  <c r="F5" i="7"/>
  <c r="F6" i="7"/>
  <c r="F7" i="7"/>
  <c r="F8" i="7"/>
  <c r="F9" i="7"/>
  <c r="F2" i="7"/>
  <c r="Y39" i="7"/>
  <c r="X39" i="7"/>
  <c r="W39" i="7"/>
  <c r="V39" i="7"/>
  <c r="F13" i="7"/>
  <c r="D11" i="7"/>
  <c r="E11" i="7" s="1"/>
  <c r="E10" i="7"/>
  <c r="E13" i="7"/>
  <c r="E12" i="7"/>
  <c r="E3" i="7"/>
  <c r="E4" i="7"/>
  <c r="E5" i="7"/>
  <c r="E6" i="7"/>
  <c r="E7" i="7"/>
  <c r="E8" i="7"/>
  <c r="E9" i="7"/>
  <c r="E2" i="7"/>
  <c r="T38" i="7"/>
  <c r="T36" i="7"/>
  <c r="T25" i="7"/>
  <c r="T26" i="7"/>
  <c r="T27" i="7"/>
  <c r="T28" i="7"/>
  <c r="T29" i="7"/>
  <c r="T30" i="7"/>
  <c r="T31" i="7"/>
  <c r="T24" i="7"/>
  <c r="T42" i="7"/>
  <c r="T41" i="7"/>
  <c r="U25" i="7"/>
  <c r="U26" i="7"/>
  <c r="U27" i="7"/>
  <c r="U28" i="7"/>
  <c r="U29" i="7"/>
  <c r="U30" i="7"/>
  <c r="U31" i="7"/>
  <c r="U24" i="7"/>
  <c r="I16" i="4"/>
  <c r="I15" i="4"/>
  <c r="D13" i="7"/>
  <c r="D12" i="7"/>
  <c r="D3" i="7"/>
  <c r="D4" i="7"/>
  <c r="D5" i="7"/>
  <c r="D6" i="7"/>
  <c r="D7" i="7"/>
  <c r="D8" i="7"/>
  <c r="D9" i="7"/>
  <c r="D10" i="7"/>
  <c r="D2" i="7"/>
  <c r="Y4" i="7"/>
  <c r="Y5" i="7"/>
  <c r="Y6" i="7"/>
  <c r="Y7" i="7"/>
  <c r="Y8" i="7"/>
  <c r="Y9" i="7"/>
  <c r="Y10" i="7"/>
  <c r="Y11" i="7"/>
  <c r="Y12" i="7"/>
  <c r="Y13" i="7"/>
  <c r="Y3" i="7"/>
  <c r="S32" i="7"/>
  <c r="R32" i="7"/>
  <c r="Q32" i="7"/>
  <c r="Q39" i="7" s="1"/>
  <c r="P32" i="7"/>
  <c r="K12" i="7" l="1"/>
  <c r="K9" i="7"/>
  <c r="K8" i="7"/>
  <c r="K7" i="7"/>
  <c r="K6" i="7"/>
  <c r="K5" i="7"/>
  <c r="K4" i="7"/>
  <c r="K3" i="7"/>
  <c r="K2" i="7"/>
  <c r="C11" i="7"/>
  <c r="C10" i="7"/>
  <c r="C13" i="7"/>
  <c r="C12" i="7"/>
  <c r="C9" i="7"/>
  <c r="C8" i="7"/>
  <c r="C7" i="7"/>
  <c r="C6" i="7"/>
  <c r="C5" i="7"/>
  <c r="C4" i="7"/>
  <c r="C3" i="7"/>
  <c r="C2" i="7"/>
  <c r="H20" i="8"/>
  <c r="H19" i="8"/>
  <c r="F24" i="8"/>
  <c r="F25" i="8" s="1"/>
  <c r="D24" i="8"/>
  <c r="D25" i="8" s="1"/>
  <c r="E10" i="8"/>
  <c r="E9" i="8"/>
  <c r="C12" i="8"/>
  <c r="B12" i="8"/>
  <c r="C7" i="8"/>
  <c r="B7" i="8"/>
  <c r="A11" i="8"/>
  <c r="A10" i="8"/>
  <c r="A9" i="8"/>
  <c r="A8" i="8"/>
  <c r="D16" i="8" a="1"/>
  <c r="D16" i="8" s="1"/>
  <c r="D17" i="8" a="1"/>
  <c r="E17" i="8" s="1"/>
  <c r="F9" i="8"/>
  <c r="F19" i="8"/>
  <c r="G19" i="8"/>
  <c r="F10" i="8"/>
  <c r="E20" i="8" s="1"/>
  <c r="E13" i="4"/>
  <c r="D13" i="4"/>
  <c r="C13" i="4"/>
  <c r="C20" i="4" s="1"/>
  <c r="B13" i="4"/>
  <c r="D19" i="8"/>
  <c r="G24" i="8"/>
  <c r="G25" i="8" s="1"/>
  <c r="E19" i="8"/>
  <c r="E24" i="8"/>
  <c r="E25" i="8" s="1"/>
  <c r="G26" i="8" l="1"/>
  <c r="G27" i="8"/>
  <c r="E21" i="8"/>
  <c r="G20" i="8"/>
  <c r="F17" i="8"/>
  <c r="F21" i="8" s="1"/>
  <c r="D17" i="8"/>
  <c r="G17" i="8"/>
  <c r="E16" i="8"/>
  <c r="F20" i="8"/>
  <c r="F16" i="8"/>
  <c r="G16" i="8"/>
  <c r="D20" i="8"/>
  <c r="C14" i="7"/>
  <c r="J11" i="7"/>
  <c r="F26" i="8" l="1"/>
  <c r="F27" i="8" s="1"/>
  <c r="D26" i="8"/>
  <c r="D27" i="8" s="1"/>
  <c r="E26" i="8"/>
  <c r="E27" i="8" s="1"/>
  <c r="G21" i="8"/>
  <c r="D21" i="8"/>
  <c r="H17" i="8"/>
  <c r="H21" i="8" s="1"/>
  <c r="N11" i="7"/>
  <c r="P11" i="7" s="1"/>
  <c r="D14" i="7"/>
  <c r="F28" i="8" l="1"/>
  <c r="F29" i="8"/>
  <c r="N5" i="7"/>
  <c r="J13" i="7"/>
  <c r="N6" i="7"/>
  <c r="P6" i="7" s="1"/>
  <c r="N2" i="7"/>
  <c r="N3" i="7"/>
  <c r="N4" i="7"/>
  <c r="N8" i="7"/>
  <c r="P8" i="7" s="1"/>
  <c r="N12" i="7"/>
  <c r="P12" i="7" s="1"/>
  <c r="J12" i="7"/>
  <c r="D28" i="8" l="1"/>
  <c r="D29" i="8" s="1"/>
  <c r="E28" i="8"/>
  <c r="E29" i="8" s="1"/>
  <c r="G28" i="8"/>
  <c r="G29" i="8" s="1"/>
  <c r="N13" i="7"/>
  <c r="P13" i="7" s="1"/>
  <c r="N9" i="7"/>
  <c r="P9" i="7" s="1"/>
  <c r="N7" i="7"/>
  <c r="P7" i="7" s="1"/>
  <c r="G30" i="8" l="1"/>
  <c r="G31" i="8"/>
  <c r="F14" i="7"/>
  <c r="J9" i="7"/>
  <c r="J6" i="7"/>
  <c r="J7" i="7"/>
  <c r="P3" i="7"/>
  <c r="Q3" i="7" s="1"/>
  <c r="G14" i="7"/>
  <c r="P5" i="7"/>
  <c r="Q5" i="7" s="1"/>
  <c r="F30" i="8" l="1"/>
  <c r="F31" i="8" s="1"/>
  <c r="D30" i="8"/>
  <c r="D31" i="8" s="1"/>
  <c r="E30" i="8"/>
  <c r="E31" i="8" s="1"/>
  <c r="J5" i="7"/>
  <c r="L5" i="7" s="1"/>
  <c r="P4" i="7"/>
  <c r="Q4" i="7" s="1"/>
  <c r="P2" i="7"/>
  <c r="Q2" i="7" s="1"/>
  <c r="H14" i="7"/>
  <c r="F32" i="8" l="1"/>
  <c r="O14" i="7"/>
  <c r="J3" i="7"/>
  <c r="L3" i="7" s="1"/>
  <c r="J2" i="7"/>
  <c r="L2" i="7" s="1"/>
  <c r="J8" i="7"/>
  <c r="D32" i="8" l="1"/>
  <c r="D33" i="8" s="1"/>
  <c r="G32" i="8"/>
  <c r="G33" i="8" s="1"/>
  <c r="E32" i="8"/>
  <c r="E33" i="8" s="1"/>
  <c r="F33" i="8"/>
  <c r="J4" i="7"/>
  <c r="L4" i="7" s="1"/>
  <c r="G34" i="8" l="1"/>
  <c r="G35" i="8"/>
  <c r="I14" i="7"/>
  <c r="E34" i="8" l="1"/>
  <c r="E35" i="8" s="1"/>
  <c r="D34" i="8"/>
  <c r="D35" i="8" s="1"/>
  <c r="F34" i="8"/>
  <c r="F35" i="8" s="1"/>
  <c r="J10" i="7" l="1"/>
  <c r="J14" i="7" s="1"/>
  <c r="E14" i="7"/>
  <c r="N10" i="7"/>
  <c r="P10" i="7" s="1"/>
  <c r="P14" i="7" s="1"/>
  <c r="N1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Vishwanathan Iyer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Vishwanathan Iyer:
Projected is at 10% escalation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<sst xmlns="http://schemas.openxmlformats.org/spreadsheetml/2006/main" count="241" uniqueCount="129">
  <si>
    <t>Balance Sheet</t>
  </si>
  <si>
    <t>As of December 31,1975</t>
  </si>
  <si>
    <t>Assets</t>
  </si>
  <si>
    <t>Liabilities and Fund Balances</t>
  </si>
  <si>
    <t>Cash</t>
  </si>
  <si>
    <t>Accounts Payable</t>
  </si>
  <si>
    <t>Accounts Receivable</t>
  </si>
  <si>
    <t>Accrued wages</t>
  </si>
  <si>
    <t>Inventory</t>
  </si>
  <si>
    <t>Total Current</t>
  </si>
  <si>
    <t>Bank Loan</t>
  </si>
  <si>
    <t>Furniture &amp; Equipment</t>
  </si>
  <si>
    <t>Total Liabilities</t>
  </si>
  <si>
    <t>Less: Accumulated</t>
  </si>
  <si>
    <t>Depreciation</t>
  </si>
  <si>
    <t>Fund Balances:</t>
  </si>
  <si>
    <t>Total fixed</t>
  </si>
  <si>
    <t>Designated by board for</t>
  </si>
  <si>
    <t>Special Outreach Project</t>
  </si>
  <si>
    <t>Total Assets</t>
  </si>
  <si>
    <t>Purchases of new equip.</t>
  </si>
  <si>
    <t>Undesignated</t>
  </si>
  <si>
    <t>Total Fund balances</t>
  </si>
  <si>
    <t>Total Liabilities and Fund</t>
  </si>
  <si>
    <t>Balances</t>
  </si>
  <si>
    <t>Income Statement</t>
  </si>
  <si>
    <t>1975</t>
  </si>
  <si>
    <t>Revenue from patient fees</t>
  </si>
  <si>
    <t>Other revenue</t>
  </si>
  <si>
    <t>Total Revenue</t>
  </si>
  <si>
    <t>Expenses</t>
  </si>
  <si>
    <t>Program services</t>
  </si>
  <si>
    <t>Utilities</t>
  </si>
  <si>
    <t>Laboratory</t>
  </si>
  <si>
    <t>General and Administrative</t>
  </si>
  <si>
    <t>Total Expenses</t>
  </si>
  <si>
    <t>Surplus (Deficit)</t>
  </si>
  <si>
    <r>
      <t>Exhibit 1</t>
    </r>
    <r>
      <rPr>
        <sz val="10"/>
        <rFont val="Arial"/>
        <family val="2"/>
      </rPr>
      <t xml:space="preserve"> Financial Statements for 1975</t>
    </r>
  </si>
  <si>
    <t>Department</t>
  </si>
  <si>
    <t>Total</t>
  </si>
  <si>
    <t>Pediatrics</t>
  </si>
  <si>
    <t>Family Planning</t>
  </si>
  <si>
    <t>Adult Medicine</t>
  </si>
  <si>
    <t>Nursing</t>
  </si>
  <si>
    <t>Mental Health</t>
  </si>
  <si>
    <t>Social Services</t>
  </si>
  <si>
    <t>Community Health</t>
  </si>
  <si>
    <t>Dental</t>
  </si>
  <si>
    <t>Sub-Total</t>
  </si>
  <si>
    <t>Administration</t>
  </si>
  <si>
    <t>Rent</t>
  </si>
  <si>
    <t>Laboratory Work</t>
  </si>
  <si>
    <t>Cleaning</t>
  </si>
  <si>
    <t>Record Keeping</t>
  </si>
  <si>
    <t>Number of Patient Visits</t>
  </si>
  <si>
    <t>Average Cost per Visit</t>
  </si>
  <si>
    <r>
      <t>Exhibit 2</t>
    </r>
    <r>
      <rPr>
        <sz val="10"/>
        <rFont val="Arial"/>
        <family val="2"/>
      </rPr>
      <t xml:space="preserve"> Costs and Patient Visits1 for 1975, By Department</t>
    </r>
  </si>
  <si>
    <r>
      <t>Salaries</t>
    </r>
    <r>
      <rPr>
        <b/>
        <vertAlign val="superscript"/>
        <sz val="10"/>
        <rFont val="Arial"/>
        <family val="2"/>
      </rPr>
      <t>2</t>
    </r>
  </si>
  <si>
    <t>Number Patient Visits</t>
  </si>
  <si>
    <r>
      <t>Others</t>
    </r>
    <r>
      <rPr>
        <b/>
        <vertAlign val="superscript"/>
        <sz val="10"/>
        <rFont val="Arial"/>
        <family val="2"/>
      </rPr>
      <t>3</t>
    </r>
  </si>
  <si>
    <r>
      <t>1</t>
    </r>
    <r>
      <rPr>
        <sz val="8"/>
        <rFont val="Arial"/>
        <family val="2"/>
      </rPr>
      <t>Patient visits rounded to nearest 100; Expenses rounded to nearest 1,000</t>
    </r>
  </si>
  <si>
    <r>
      <t>2</t>
    </r>
    <r>
      <rPr>
        <sz val="8"/>
        <rFont val="Arial"/>
        <family val="2"/>
      </rPr>
      <t>Includes fringe benefits</t>
    </r>
  </si>
  <si>
    <r>
      <t>3</t>
    </r>
    <r>
      <rPr>
        <sz val="8"/>
        <rFont val="Arial"/>
        <family val="2"/>
      </rPr>
      <t>Materials, supplies, contracted services, depreciation and other non-personnel expenses</t>
    </r>
  </si>
  <si>
    <r>
      <t>Floor Space</t>
    </r>
    <r>
      <rPr>
        <b/>
        <vertAlign val="superscript"/>
        <sz val="10"/>
        <rFont val="Arial"/>
        <family val="2"/>
      </rPr>
      <t>2</t>
    </r>
  </si>
  <si>
    <r>
      <t>Laboratory Usage</t>
    </r>
    <r>
      <rPr>
        <b/>
        <vertAlign val="superscript"/>
        <sz val="10"/>
        <rFont val="Arial"/>
        <family val="2"/>
      </rPr>
      <t>3</t>
    </r>
  </si>
  <si>
    <r>
      <t>Exhibit 3</t>
    </r>
    <r>
      <rPr>
        <sz val="10"/>
        <rFont val="Arial"/>
        <family val="2"/>
      </rPr>
      <t xml:space="preserve"> Floor Space and Laboratory Usage1 by Department</t>
    </r>
  </si>
  <si>
    <t>---</t>
  </si>
  <si>
    <r>
      <t>1</t>
    </r>
    <r>
      <rPr>
        <sz val="8"/>
        <rFont val="Arial"/>
        <family val="2"/>
      </rPr>
      <t>Rounded to nearest 100</t>
    </r>
  </si>
  <si>
    <r>
      <t>2</t>
    </r>
    <r>
      <rPr>
        <sz val="8"/>
        <rFont val="Arial"/>
        <family val="2"/>
      </rPr>
      <t xml:space="preserve"> In Square Feet</t>
    </r>
  </si>
  <si>
    <r>
      <t>3</t>
    </r>
    <r>
      <rPr>
        <sz val="8"/>
        <rFont val="Arial"/>
        <family val="2"/>
      </rPr>
      <t>In hours/year</t>
    </r>
  </si>
  <si>
    <t>Direct Cost</t>
  </si>
  <si>
    <t>Production</t>
  </si>
  <si>
    <t>Service</t>
  </si>
  <si>
    <t>Rent, Utilities &amp; Cleaning</t>
  </si>
  <si>
    <t>Cost Driver</t>
  </si>
  <si>
    <t>Floor Space</t>
  </si>
  <si>
    <t>Salary</t>
  </si>
  <si>
    <t>No of Patients visited</t>
  </si>
  <si>
    <t>Drivers</t>
  </si>
  <si>
    <t>Charges per visit (or hour)</t>
  </si>
  <si>
    <t>Social Services (BA)</t>
  </si>
  <si>
    <t>Social Services (MSW)</t>
  </si>
  <si>
    <t>Equation</t>
  </si>
  <si>
    <t>Original Cost</t>
  </si>
  <si>
    <t>Distribution</t>
  </si>
  <si>
    <t>Social Services - BA</t>
  </si>
  <si>
    <t>Social Services - MSW</t>
  </si>
  <si>
    <t>Equally to all incl SS, except Dental</t>
  </si>
  <si>
    <t>Equally to all excl SS, except Dental</t>
  </si>
  <si>
    <r>
      <t>Specific (1:1:2) of 2/3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expense</t>
    </r>
  </si>
  <si>
    <t>Xray</t>
  </si>
  <si>
    <t>Lab</t>
  </si>
  <si>
    <t>Xray = 5000 + 0.2*Lab</t>
  </si>
  <si>
    <t>Lab = 4400 + 0.1*Xray</t>
  </si>
  <si>
    <t>Solving for Xray,</t>
  </si>
  <si>
    <t>Xray = 5000 + .2*(4400 + .1*Xray)</t>
  </si>
  <si>
    <t>TOTAL</t>
  </si>
  <si>
    <t>Direct Cost + Service Dept</t>
  </si>
  <si>
    <t>Current</t>
  </si>
  <si>
    <t>% usage</t>
  </si>
  <si>
    <t>Rent, Util, Cleaning</t>
  </si>
  <si>
    <t xml:space="preserve">Admin </t>
  </si>
  <si>
    <t>% of salary</t>
  </si>
  <si>
    <t>% of patient</t>
  </si>
  <si>
    <t>&lt;- total admin cost to be absorbed</t>
  </si>
  <si>
    <t>total cost to company for Record keeping</t>
  </si>
  <si>
    <t>Masters</t>
  </si>
  <si>
    <t>Bachelors</t>
  </si>
  <si>
    <t>number of worker</t>
  </si>
  <si>
    <t>salary</t>
  </si>
  <si>
    <t>Total of CTC of social services</t>
  </si>
  <si>
    <t>MSW spends 50% time in own dep</t>
  </si>
  <si>
    <t>and 50% time serving other dep</t>
  </si>
  <si>
    <t>cost per dep</t>
  </si>
  <si>
    <t>BSW spends time serving all dep except dental</t>
  </si>
  <si>
    <t>&lt;- total salary less: salary of admin</t>
  </si>
  <si>
    <t>Nursing dep full cost (CTC)</t>
  </si>
  <si>
    <t xml:space="preserve">1 surving pead, Family </t>
  </si>
  <si>
    <t>1 own dep</t>
  </si>
  <si>
    <t>1 adult med</t>
  </si>
  <si>
    <t>Cost center -&gt; incurred cost but not directly generate revenue</t>
  </si>
  <si>
    <t>Revenue center -&gt; incurred cost generating direct revenue</t>
  </si>
  <si>
    <t>Profit center -&gt; standalone center which is expected to generate profit</t>
  </si>
  <si>
    <t xml:space="preserve">Investment center -&gt; </t>
  </si>
  <si>
    <t xml:space="preserve">Cost object is at a lower level -&gt; measures cost seperately </t>
  </si>
  <si>
    <t>Revenue center linking to another center</t>
  </si>
  <si>
    <t>unilateral interdependency</t>
  </si>
  <si>
    <t>we need type of lab test</t>
  </si>
  <si>
    <t>and no. of hrs per lab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</si>
</sst>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_);[Red]\(&quot;$&quot;#,##0\)"/>
    <numFmt numFmtId="165" formatCode="&quot;$&quot;#,##0.00_);[Red]\(&quot;$&quot;#,##0.00\)"/>
    <numFmt numFmtId="166" formatCode="_(* #,##0.00_);_(* \(#,##0.00\);_(* &quot;-&quot;??_);_(@_)"/>
    <numFmt numFmtId="167" formatCode="0_);\(0\)"/>
    <numFmt numFmtId="168" formatCode="#,##0.000;[Red]#,##0.000"/>
    <numFmt numFmtId="169" formatCode="#,##0.000"/>
    <numFmt numFmtId="170" formatCode="&quot;$&quot;#,##0;[Red]&quot;$&quot;#,##0"/>
    <numFmt numFmtId="171" formatCode="#,##0;[Red]#,##0"/>
    <numFmt numFmtId="172" formatCode="_(* #,##0_);_(* \(#,##0\);_(* &quot;-&quot;??_);_(@_)"/>
    <numFmt numFmtId="173" formatCode="0_);[Red]\(0\)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 indent="2"/>
    </xf>
    <xf numFmtId="0" fontId="3" fillId="0" borderId="0" xfId="0" applyFont="1" applyAlignment="1">
      <alignment horizontal="left" vertical="top" indent="1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3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3" fillId="0" borderId="1" xfId="0" applyNumberFormat="1" applyFont="1" applyBorder="1" applyAlignment="1">
      <alignment horizontal="right" vertical="top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0" xfId="0" quotePrefix="1" applyFont="1" applyAlignment="1">
      <alignment horizontal="right" vertical="top"/>
    </xf>
    <xf numFmtId="3" fontId="3" fillId="0" borderId="0" xfId="0" applyNumberFormat="1" applyFont="1" applyAlignment="1">
      <alignment horizontal="right" vertical="top"/>
    </xf>
    <xf numFmtId="3" fontId="3" fillId="0" borderId="2" xfId="0" applyNumberFormat="1" applyFont="1" applyBorder="1" applyAlignment="1">
      <alignment horizontal="right" vertical="top"/>
    </xf>
    <xf numFmtId="171" fontId="3" fillId="0" borderId="0" xfId="0" applyNumberFormat="1" applyFont="1" applyAlignment="1">
      <alignment horizontal="right" vertical="top"/>
    </xf>
    <xf numFmtId="3" fontId="3" fillId="0" borderId="1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0" fontId="2" fillId="0" borderId="0" xfId="0" applyFont="1"/>
    <xf numFmtId="0" fontId="2" fillId="0" borderId="0" xfId="0" applyFont="1" applyAlignment="1">
      <alignment wrapText="1"/>
    </xf>
    <xf numFmtId="166" fontId="0" fillId="0" borderId="0" xfId="1" applyFont="1"/>
    <xf numFmtId="38" fontId="0" fillId="0" borderId="0" xfId="1" applyNumberFormat="1" applyFont="1"/>
    <xf numFmtId="173" fontId="0" fillId="0" borderId="0" xfId="1" applyNumberFormat="1" applyFont="1"/>
    <xf numFmtId="173" fontId="0" fillId="0" borderId="2" xfId="1" applyNumberFormat="1" applyFont="1" applyBorder="1"/>
    <xf numFmtId="38" fontId="0" fillId="0" borderId="2" xfId="1" applyNumberFormat="1" applyFont="1" applyBorder="1"/>
    <xf numFmtId="164" fontId="3" fillId="0" borderId="0" xfId="0" applyNumberFormat="1" applyFont="1"/>
    <xf numFmtId="166" fontId="0" fillId="0" borderId="2" xfId="1" applyFont="1" applyBorder="1"/>
    <xf numFmtId="172" fontId="2" fillId="0" borderId="0" xfId="1" applyNumberFormat="1" applyFont="1"/>
    <xf numFmtId="4" fontId="0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quotePrefix="1" applyFont="1"/>
    <xf numFmtId="173" fontId="0" fillId="0" borderId="0" xfId="0" applyNumberFormat="1"/>
    <xf numFmtId="173" fontId="0" fillId="0" borderId="2" xfId="0" applyNumberFormat="1" applyBorder="1"/>
    <xf numFmtId="9" fontId="2" fillId="0" borderId="0" xfId="2" applyFont="1" applyAlignment="1">
      <alignment horizontal="center"/>
    </xf>
    <xf numFmtId="0" fontId="12" fillId="2" borderId="0" xfId="0" applyFont="1" applyFill="1"/>
    <xf numFmtId="0" fontId="2" fillId="0" borderId="3" xfId="0" applyFont="1" applyBorder="1"/>
    <xf numFmtId="166" fontId="2" fillId="0" borderId="3" xfId="1" applyFont="1" applyBorder="1"/>
    <xf numFmtId="173" fontId="2" fillId="0" borderId="3" xfId="0" applyNumberFormat="1" applyFont="1" applyBorder="1"/>
    <xf numFmtId="167" fontId="2" fillId="0" borderId="3" xfId="1" applyNumberFormat="1" applyFont="1" applyBorder="1"/>
    <xf numFmtId="172" fontId="0" fillId="0" borderId="0" xfId="1" applyNumberFormat="1" applyFont="1"/>
    <xf numFmtId="172" fontId="0" fillId="0" borderId="2" xfId="1" applyNumberFormat="1" applyFont="1" applyBorder="1"/>
    <xf numFmtId="172" fontId="0" fillId="0" borderId="0" xfId="0" applyNumberFormat="1"/>
    <xf numFmtId="166" fontId="0" fillId="3" borderId="0" xfId="0" applyNumberFormat="1" applyFill="1"/>
    <xf numFmtId="172" fontId="0" fillId="0" borderId="2" xfId="0" applyNumberFormat="1" applyBorder="1"/>
    <xf numFmtId="9" fontId="0" fillId="0" borderId="0" xfId="0" applyNumberFormat="1"/>
    <xf numFmtId="9" fontId="0" fillId="3" borderId="0" xfId="0" applyNumberFormat="1" applyFill="1"/>
    <xf numFmtId="0" fontId="0" fillId="4" borderId="0" xfId="0" applyFill="1"/>
    <xf numFmtId="40" fontId="11" fillId="4" borderId="0" xfId="1" applyNumberFormat="1" applyFont="1" applyFill="1"/>
    <xf numFmtId="38" fontId="11" fillId="4" borderId="0" xfId="1" applyNumberFormat="1" applyFont="1" applyFill="1"/>
    <xf numFmtId="0" fontId="2" fillId="2" borderId="0" xfId="0" applyFont="1" applyFill="1" applyAlignment="1">
      <alignment vertical="center"/>
    </xf>
    <xf numFmtId="3" fontId="0" fillId="0" borderId="0" xfId="0" applyNumberFormat="1"/>
    <xf numFmtId="3" fontId="0" fillId="0" borderId="2" xfId="0" applyNumberFormat="1" applyBorder="1"/>
    <xf numFmtId="0" fontId="1" fillId="0" borderId="0" xfId="0" applyFont="1"/>
    <xf numFmtId="3" fontId="3" fillId="0" borderId="0" xfId="0" applyNumberFormat="1" applyFont="1"/>
    <xf numFmtId="38" fontId="0" fillId="0" borderId="0" xfId="0" applyNumberFormat="1"/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wrapText="1"/>
    </xf>
    <xf numFmtId="0" fontId="2" fillId="5" borderId="0" xfId="0" applyFont="1" applyFill="1" applyAlignment="1">
      <alignment textRotation="90"/>
    </xf>
    <xf numFmtId="0" fontId="0" fillId="5" borderId="0" xfId="0" applyFill="1" applyAlignment="1">
      <alignment textRotation="90"/>
    </xf>
    <xf numFmtId="0" fontId="2" fillId="6" borderId="0" xfId="0" applyFont="1" applyFill="1" applyAlignment="1">
      <alignment textRotation="90"/>
    </xf>
    <xf numFmtId="0" fontId="0" fillId="6" borderId="0" xfId="0" applyFill="1" applyAlignment="1">
      <alignment textRotation="90"/>
    </xf>
    <xf numFmtId="4" fontId="0" fillId="3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activeCell="E33" sqref="E33"/>
    </sheetView>
  </sheetViews>
  <sheetFormatPr defaultRowHeight="12.75" x14ac:dyDescent="0.2"/>
  <cols>
    <col min="1" max="1" width="31" style="1" customWidth="1"/>
    <col min="2" max="2" width="9" style="1" customWidth="1"/>
    <col min="3" max="3" width="9.42578125" style="1" customWidth="1"/>
    <col min="4" max="4" width="32.42578125" style="1" customWidth="1"/>
    <col min="5" max="16384" width="9.140625" style="1"/>
  </cols>
  <sheetData>
    <row r="1" spans="1:6" x14ac:dyDescent="0.2">
      <c r="A1" s="67" t="s">
        <v>37</v>
      </c>
      <c r="B1" s="67"/>
      <c r="C1" s="67"/>
      <c r="D1" s="67"/>
      <c r="E1" s="67"/>
      <c r="F1" s="67"/>
    </row>
    <row r="2" spans="1:6" x14ac:dyDescent="0.2">
      <c r="A2" s="68"/>
      <c r="B2" s="68"/>
      <c r="C2" s="68"/>
      <c r="D2" s="68"/>
      <c r="E2" s="68"/>
      <c r="F2" s="68"/>
    </row>
    <row r="3" spans="1:6" x14ac:dyDescent="0.2">
      <c r="A3" s="69" t="s">
        <v>0</v>
      </c>
      <c r="B3" s="69"/>
      <c r="C3" s="69"/>
      <c r="D3" s="69"/>
      <c r="E3" s="69"/>
      <c r="F3" s="69"/>
    </row>
    <row r="4" spans="1:6" x14ac:dyDescent="0.2">
      <c r="A4" s="69" t="s">
        <v>1</v>
      </c>
      <c r="B4" s="69"/>
      <c r="C4" s="69"/>
      <c r="D4" s="69"/>
      <c r="E4" s="69"/>
      <c r="F4" s="69"/>
    </row>
    <row r="5" spans="1:6" x14ac:dyDescent="0.2">
      <c r="A5" s="8" t="s">
        <v>2</v>
      </c>
      <c r="B5" s="2"/>
      <c r="C5" s="2"/>
      <c r="D5" s="8" t="s">
        <v>3</v>
      </c>
      <c r="E5" s="2"/>
      <c r="F5" s="2"/>
    </row>
    <row r="6" spans="1:6" x14ac:dyDescent="0.2">
      <c r="A6" s="2" t="s">
        <v>4</v>
      </c>
      <c r="B6" s="23">
        <v>30934</v>
      </c>
      <c r="C6" s="4"/>
      <c r="D6" s="2" t="s">
        <v>5</v>
      </c>
      <c r="E6" s="23">
        <v>32754</v>
      </c>
      <c r="F6" s="4"/>
    </row>
    <row r="7" spans="1:6" x14ac:dyDescent="0.2">
      <c r="A7" s="2" t="s">
        <v>6</v>
      </c>
      <c r="B7" s="23">
        <v>8800</v>
      </c>
      <c r="C7" s="4"/>
      <c r="D7" s="2" t="s">
        <v>7</v>
      </c>
      <c r="E7" s="24">
        <v>3466</v>
      </c>
      <c r="F7" s="4"/>
    </row>
    <row r="8" spans="1:6" x14ac:dyDescent="0.2">
      <c r="A8" s="2" t="s">
        <v>8</v>
      </c>
      <c r="B8" s="24">
        <v>40540</v>
      </c>
      <c r="C8" s="4"/>
      <c r="D8" s="5" t="s">
        <v>9</v>
      </c>
      <c r="E8" s="4"/>
      <c r="F8" s="23">
        <v>36220</v>
      </c>
    </row>
    <row r="9" spans="1:6" x14ac:dyDescent="0.2">
      <c r="A9" s="5" t="s">
        <v>9</v>
      </c>
      <c r="B9" s="4"/>
      <c r="C9" s="25">
        <v>80274</v>
      </c>
      <c r="D9" s="2"/>
      <c r="E9" s="4"/>
      <c r="F9" s="11"/>
    </row>
    <row r="10" spans="1:6" x14ac:dyDescent="0.2">
      <c r="A10" s="2"/>
      <c r="B10" s="4"/>
      <c r="C10" s="4"/>
      <c r="D10" s="2" t="s">
        <v>10</v>
      </c>
      <c r="E10" s="4"/>
      <c r="F10" s="24">
        <v>27550</v>
      </c>
    </row>
    <row r="11" spans="1:6" x14ac:dyDescent="0.2">
      <c r="A11" s="2" t="s">
        <v>11</v>
      </c>
      <c r="B11" s="23">
        <v>21700</v>
      </c>
      <c r="C11" s="4"/>
      <c r="D11" s="2" t="s">
        <v>12</v>
      </c>
      <c r="E11" s="4"/>
      <c r="F11" s="23">
        <v>63770</v>
      </c>
    </row>
    <row r="12" spans="1:6" x14ac:dyDescent="0.2">
      <c r="A12" s="2" t="s">
        <v>13</v>
      </c>
      <c r="B12" s="11"/>
      <c r="C12" s="4"/>
      <c r="D12" s="2"/>
      <c r="E12" s="4"/>
      <c r="F12" s="4"/>
    </row>
    <row r="13" spans="1:6" x14ac:dyDescent="0.2">
      <c r="A13" s="6" t="s">
        <v>14</v>
      </c>
      <c r="B13" s="24">
        <v>8788</v>
      </c>
      <c r="C13" s="4"/>
      <c r="D13" s="2" t="s">
        <v>15</v>
      </c>
      <c r="E13" s="4"/>
      <c r="F13" s="4"/>
    </row>
    <row r="14" spans="1:6" x14ac:dyDescent="0.2">
      <c r="A14" s="5" t="s">
        <v>16</v>
      </c>
      <c r="B14" s="4"/>
      <c r="C14" s="24">
        <v>12912</v>
      </c>
      <c r="D14" s="2" t="s">
        <v>17</v>
      </c>
      <c r="F14" s="4"/>
    </row>
    <row r="15" spans="1:6" x14ac:dyDescent="0.2">
      <c r="A15" s="2"/>
      <c r="B15" s="4"/>
      <c r="C15" s="11"/>
      <c r="D15" s="6" t="s">
        <v>18</v>
      </c>
      <c r="E15" s="23">
        <v>25000</v>
      </c>
      <c r="F15" s="4"/>
    </row>
    <row r="16" spans="1:6" x14ac:dyDescent="0.2">
      <c r="A16" s="2" t="s">
        <v>19</v>
      </c>
      <c r="B16" s="4"/>
      <c r="C16" s="23">
        <v>93186</v>
      </c>
      <c r="D16" s="6" t="s">
        <v>20</v>
      </c>
      <c r="E16" s="23">
        <v>3000</v>
      </c>
      <c r="F16" s="4"/>
    </row>
    <row r="17" spans="1:6" x14ac:dyDescent="0.2">
      <c r="A17" s="2"/>
      <c r="B17" s="2"/>
      <c r="C17" s="2"/>
      <c r="D17" s="2" t="s">
        <v>21</v>
      </c>
      <c r="E17" s="24">
        <v>1416</v>
      </c>
      <c r="F17" s="4"/>
    </row>
    <row r="18" spans="1:6" x14ac:dyDescent="0.2">
      <c r="A18" s="2"/>
      <c r="B18" s="2"/>
      <c r="C18" s="2"/>
      <c r="D18" s="2" t="s">
        <v>22</v>
      </c>
      <c r="E18" s="4"/>
      <c r="F18" s="24">
        <v>29416</v>
      </c>
    </row>
    <row r="19" spans="1:6" x14ac:dyDescent="0.2">
      <c r="A19" s="2"/>
      <c r="B19" s="2"/>
      <c r="C19" s="2"/>
      <c r="D19" s="2" t="s">
        <v>23</v>
      </c>
      <c r="E19" s="4"/>
      <c r="F19" s="11"/>
    </row>
    <row r="20" spans="1:6" x14ac:dyDescent="0.2">
      <c r="A20" s="2"/>
      <c r="B20" s="2"/>
      <c r="C20" s="2"/>
      <c r="D20" s="2" t="s">
        <v>24</v>
      </c>
      <c r="E20" s="4"/>
      <c r="F20" s="23">
        <v>93186</v>
      </c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69" t="s">
        <v>25</v>
      </c>
      <c r="B22" s="69"/>
      <c r="C22" s="69"/>
      <c r="D22" s="7"/>
      <c r="E22" s="7"/>
      <c r="F22" s="7"/>
    </row>
    <row r="23" spans="1:6" x14ac:dyDescent="0.2">
      <c r="A23" s="69" t="s">
        <v>26</v>
      </c>
      <c r="B23" s="69"/>
      <c r="C23" s="69"/>
      <c r="D23" s="7"/>
      <c r="E23" s="7"/>
      <c r="F23" s="7"/>
    </row>
    <row r="24" spans="1:6" x14ac:dyDescent="0.2">
      <c r="A24" s="2" t="s">
        <v>27</v>
      </c>
      <c r="B24" s="4"/>
      <c r="C24" s="23">
        <v>345450</v>
      </c>
      <c r="E24" s="2"/>
      <c r="F24" s="2"/>
    </row>
    <row r="25" spans="1:6" x14ac:dyDescent="0.2">
      <c r="A25" s="2" t="s">
        <v>28</v>
      </c>
      <c r="B25" s="4"/>
      <c r="C25" s="24">
        <v>5000</v>
      </c>
      <c r="E25" s="2"/>
      <c r="F25" s="2"/>
    </row>
    <row r="26" spans="1:6" x14ac:dyDescent="0.2">
      <c r="A26" s="2" t="s">
        <v>29</v>
      </c>
      <c r="B26" s="4"/>
      <c r="C26" s="23">
        <v>350450</v>
      </c>
      <c r="E26" s="2"/>
      <c r="F26" s="2"/>
    </row>
    <row r="27" spans="1:6" x14ac:dyDescent="0.2">
      <c r="A27" s="2"/>
      <c r="B27" s="4"/>
      <c r="C27" s="11"/>
      <c r="E27" s="2"/>
      <c r="F27" s="2"/>
    </row>
    <row r="28" spans="1:6" x14ac:dyDescent="0.2">
      <c r="A28" s="2" t="s">
        <v>30</v>
      </c>
      <c r="B28" s="4"/>
      <c r="C28" s="4"/>
      <c r="E28" s="2"/>
      <c r="F28" s="2"/>
    </row>
    <row r="29" spans="1:6" x14ac:dyDescent="0.2">
      <c r="A29" s="5" t="s">
        <v>31</v>
      </c>
      <c r="B29" s="23">
        <v>235000</v>
      </c>
      <c r="C29" s="4"/>
      <c r="E29" s="2"/>
      <c r="F29" s="2"/>
    </row>
    <row r="30" spans="1:6" x14ac:dyDescent="0.2">
      <c r="A30" s="5" t="s">
        <v>32</v>
      </c>
      <c r="B30" s="23">
        <v>10000</v>
      </c>
      <c r="C30" s="4"/>
      <c r="E30" s="2"/>
      <c r="F30" s="2"/>
    </row>
    <row r="31" spans="1:6" x14ac:dyDescent="0.2">
      <c r="A31" s="5" t="s">
        <v>33</v>
      </c>
      <c r="B31" s="23">
        <v>25000</v>
      </c>
      <c r="C31" s="4"/>
      <c r="E31" s="2"/>
      <c r="F31" s="2"/>
    </row>
    <row r="32" spans="1:6" x14ac:dyDescent="0.2">
      <c r="A32" s="5" t="s">
        <v>34</v>
      </c>
      <c r="B32" s="24">
        <v>92000</v>
      </c>
      <c r="C32" s="4"/>
      <c r="E32" s="2"/>
      <c r="F32" s="2"/>
    </row>
    <row r="33" spans="1:6" x14ac:dyDescent="0.2">
      <c r="A33" s="2" t="s">
        <v>35</v>
      </c>
      <c r="B33" s="4"/>
      <c r="C33" s="23">
        <v>362000</v>
      </c>
      <c r="E33" s="2"/>
      <c r="F33" s="2"/>
    </row>
    <row r="34" spans="1:6" x14ac:dyDescent="0.2">
      <c r="A34" s="2"/>
      <c r="B34" s="4"/>
      <c r="C34" s="4"/>
      <c r="E34" s="2"/>
      <c r="F34" s="2"/>
    </row>
    <row r="35" spans="1:6" x14ac:dyDescent="0.2">
      <c r="A35" s="2" t="s">
        <v>36</v>
      </c>
      <c r="B35" s="4"/>
      <c r="C35" s="10">
        <v>-11550</v>
      </c>
      <c r="E35" s="2"/>
      <c r="F35" s="2"/>
    </row>
    <row r="36" spans="1:6" x14ac:dyDescent="0.2">
      <c r="A36" s="9"/>
      <c r="B36" s="9"/>
      <c r="C36" s="9"/>
      <c r="D36" s="9"/>
      <c r="E36" s="9"/>
      <c r="F36" s="9"/>
    </row>
  </sheetData>
  <mergeCells count="6">
    <mergeCell ref="A1:F1"/>
    <mergeCell ref="A2:F2"/>
    <mergeCell ref="A22:C22"/>
    <mergeCell ref="A23:C23"/>
    <mergeCell ref="A3:F3"/>
    <mergeCell ref="A4:F4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selection activeCell="B5" sqref="B5:B12"/>
    </sheetView>
  </sheetViews>
  <sheetFormatPr defaultRowHeight="12.75" x14ac:dyDescent="0.2"/>
  <cols>
    <col min="1" max="1" width="23.42578125" style="1" customWidth="1"/>
    <col min="2" max="2" width="11.28515625" style="1" customWidth="1"/>
    <col min="3" max="5" width="10.7109375" style="1" customWidth="1"/>
    <col min="6" max="16384" width="9.140625" style="1"/>
  </cols>
  <sheetData>
    <row r="1" spans="1:9" x14ac:dyDescent="0.2">
      <c r="A1" s="67" t="s">
        <v>56</v>
      </c>
      <c r="B1" s="67"/>
      <c r="C1" s="67"/>
      <c r="D1" s="67"/>
      <c r="E1" s="67"/>
    </row>
    <row r="2" spans="1:9" x14ac:dyDescent="0.2">
      <c r="A2" s="68"/>
      <c r="B2" s="68"/>
      <c r="C2" s="68"/>
      <c r="D2" s="68"/>
      <c r="E2" s="68"/>
    </row>
    <row r="3" spans="1:9" x14ac:dyDescent="0.2">
      <c r="A3" s="12"/>
      <c r="B3" s="12"/>
      <c r="C3" s="72" t="s">
        <v>30</v>
      </c>
      <c r="D3" s="72"/>
      <c r="E3" s="72"/>
    </row>
    <row r="4" spans="1:9" ht="38.25" x14ac:dyDescent="0.2">
      <c r="A4" s="14" t="s">
        <v>38</v>
      </c>
      <c r="B4" s="13" t="s">
        <v>58</v>
      </c>
      <c r="C4" s="15" t="s">
        <v>57</v>
      </c>
      <c r="D4" s="15" t="s">
        <v>59</v>
      </c>
      <c r="E4" s="15" t="s">
        <v>39</v>
      </c>
    </row>
    <row r="5" spans="1:9" x14ac:dyDescent="0.2">
      <c r="A5" s="3" t="s">
        <v>40</v>
      </c>
      <c r="B5" s="26">
        <v>5000</v>
      </c>
      <c r="C5" s="18">
        <v>20000</v>
      </c>
      <c r="D5" s="16">
        <v>8000</v>
      </c>
      <c r="E5" s="18">
        <v>28000</v>
      </c>
    </row>
    <row r="6" spans="1:9" x14ac:dyDescent="0.2">
      <c r="A6" s="2" t="s">
        <v>41</v>
      </c>
      <c r="B6" s="23">
        <v>10000</v>
      </c>
      <c r="C6" s="23">
        <v>5000</v>
      </c>
      <c r="D6" s="23">
        <v>15000</v>
      </c>
      <c r="E6" s="23">
        <v>20000</v>
      </c>
    </row>
    <row r="7" spans="1:9" x14ac:dyDescent="0.2">
      <c r="A7" s="2" t="s">
        <v>42</v>
      </c>
      <c r="B7" s="23">
        <v>2100</v>
      </c>
      <c r="C7" s="23">
        <v>30000</v>
      </c>
      <c r="D7" s="23">
        <v>16000</v>
      </c>
      <c r="E7" s="23">
        <v>46000</v>
      </c>
    </row>
    <row r="8" spans="1:9" x14ac:dyDescent="0.2">
      <c r="A8" s="2" t="s">
        <v>43</v>
      </c>
      <c r="B8" s="23">
        <v>4000</v>
      </c>
      <c r="C8" s="23">
        <v>27000</v>
      </c>
      <c r="D8" s="23">
        <v>6000</v>
      </c>
      <c r="E8" s="23">
        <v>33000</v>
      </c>
    </row>
    <row r="9" spans="1:9" x14ac:dyDescent="0.2">
      <c r="A9" s="2" t="s">
        <v>44</v>
      </c>
      <c r="B9" s="23">
        <v>1400</v>
      </c>
      <c r="C9" s="23">
        <v>15000</v>
      </c>
      <c r="D9" s="23">
        <v>8000</v>
      </c>
      <c r="E9" s="23">
        <v>23000</v>
      </c>
    </row>
    <row r="10" spans="1:9" x14ac:dyDescent="0.2">
      <c r="A10" s="2" t="s">
        <v>45</v>
      </c>
      <c r="B10" s="23">
        <v>1500</v>
      </c>
      <c r="C10" s="23">
        <v>32000</v>
      </c>
      <c r="D10" s="23">
        <v>8000</v>
      </c>
      <c r="E10" s="23">
        <v>40000</v>
      </c>
    </row>
    <row r="11" spans="1:9" x14ac:dyDescent="0.2">
      <c r="A11" s="2" t="s">
        <v>46</v>
      </c>
      <c r="B11" s="23">
        <v>2500</v>
      </c>
      <c r="C11" s="23">
        <v>5000</v>
      </c>
      <c r="D11" s="23">
        <v>10000</v>
      </c>
      <c r="E11" s="23">
        <v>15000</v>
      </c>
    </row>
    <row r="12" spans="1:9" x14ac:dyDescent="0.2">
      <c r="A12" s="2" t="s">
        <v>47</v>
      </c>
      <c r="B12" s="24">
        <v>6400</v>
      </c>
      <c r="C12" s="24">
        <v>20000</v>
      </c>
      <c r="D12" s="24">
        <v>10000</v>
      </c>
      <c r="E12" s="24">
        <v>30000</v>
      </c>
    </row>
    <row r="13" spans="1:9" x14ac:dyDescent="0.2">
      <c r="A13" s="5" t="s">
        <v>48</v>
      </c>
      <c r="B13" s="26">
        <f>SUM(B5:B12)</f>
        <v>32900</v>
      </c>
      <c r="C13" s="26">
        <f>SUM(C5:C12)</f>
        <v>154000</v>
      </c>
      <c r="D13" s="26">
        <f>SUM(D5:D12)</f>
        <v>81000</v>
      </c>
      <c r="E13" s="26">
        <f>SUM(E5:E12)</f>
        <v>235000</v>
      </c>
    </row>
    <row r="14" spans="1:9" x14ac:dyDescent="0.2">
      <c r="A14" s="2" t="s">
        <v>49</v>
      </c>
      <c r="B14" s="4"/>
      <c r="C14" s="23">
        <v>38000</v>
      </c>
      <c r="D14" s="23">
        <v>2000</v>
      </c>
      <c r="E14" s="23">
        <v>40000</v>
      </c>
    </row>
    <row r="15" spans="1:9" x14ac:dyDescent="0.2">
      <c r="A15" s="2" t="s">
        <v>50</v>
      </c>
      <c r="B15" s="4"/>
      <c r="C15" s="17"/>
      <c r="D15" s="23">
        <v>36000</v>
      </c>
      <c r="E15" s="23">
        <v>36000</v>
      </c>
      <c r="G15" s="63" t="s">
        <v>100</v>
      </c>
      <c r="I15" s="64">
        <f>SUM(E15,E16,E18)</f>
        <v>52000</v>
      </c>
    </row>
    <row r="16" spans="1:9" x14ac:dyDescent="0.2">
      <c r="A16" s="2" t="s">
        <v>32</v>
      </c>
      <c r="B16" s="4"/>
      <c r="C16" s="17"/>
      <c r="D16" s="23">
        <v>10000</v>
      </c>
      <c r="E16" s="23">
        <v>10000</v>
      </c>
      <c r="G16" s="63" t="s">
        <v>101</v>
      </c>
      <c r="I16" s="64">
        <f>SUM(E14)</f>
        <v>40000</v>
      </c>
    </row>
    <row r="17" spans="1:5" x14ac:dyDescent="0.2">
      <c r="A17" s="2" t="s">
        <v>51</v>
      </c>
      <c r="B17" s="4"/>
      <c r="C17" s="23">
        <v>16000</v>
      </c>
      <c r="D17" s="23">
        <v>9000</v>
      </c>
      <c r="E17" s="23">
        <v>25000</v>
      </c>
    </row>
    <row r="18" spans="1:5" x14ac:dyDescent="0.2">
      <c r="A18" s="2" t="s">
        <v>52</v>
      </c>
      <c r="B18" s="4"/>
      <c r="C18" s="17"/>
      <c r="D18" s="23">
        <v>6000</v>
      </c>
      <c r="E18" s="23">
        <v>6000</v>
      </c>
    </row>
    <row r="19" spans="1:5" x14ac:dyDescent="0.2">
      <c r="A19" s="2" t="s">
        <v>53</v>
      </c>
      <c r="B19" s="4"/>
      <c r="C19" s="24">
        <v>7000</v>
      </c>
      <c r="D19" s="24">
        <v>3000</v>
      </c>
      <c r="E19" s="24">
        <v>10000</v>
      </c>
    </row>
    <row r="20" spans="1:5" x14ac:dyDescent="0.2">
      <c r="A20" s="5" t="s">
        <v>39</v>
      </c>
      <c r="B20" s="4"/>
      <c r="C20" s="16">
        <f>SUM(C13:C19)</f>
        <v>215000</v>
      </c>
      <c r="D20" s="16">
        <v>147000</v>
      </c>
      <c r="E20" s="16">
        <v>362000</v>
      </c>
    </row>
    <row r="21" spans="1:5" x14ac:dyDescent="0.2">
      <c r="A21" s="2" t="s">
        <v>54</v>
      </c>
      <c r="B21" s="4"/>
      <c r="C21" s="4"/>
      <c r="D21" s="4"/>
      <c r="E21" s="23">
        <v>32900</v>
      </c>
    </row>
    <row r="22" spans="1:5" x14ac:dyDescent="0.2">
      <c r="A22" s="2" t="s">
        <v>55</v>
      </c>
      <c r="B22" s="4"/>
      <c r="C22" s="4"/>
      <c r="D22" s="4"/>
      <c r="E22" s="27">
        <v>11</v>
      </c>
    </row>
    <row r="23" spans="1:5" x14ac:dyDescent="0.2">
      <c r="C23" s="35"/>
    </row>
    <row r="24" spans="1:5" x14ac:dyDescent="0.2">
      <c r="A24" s="70" t="s">
        <v>60</v>
      </c>
      <c r="B24" s="70"/>
      <c r="C24" s="70"/>
      <c r="D24" s="70"/>
      <c r="E24" s="70"/>
    </row>
    <row r="25" spans="1:5" x14ac:dyDescent="0.2">
      <c r="A25" s="70" t="s">
        <v>61</v>
      </c>
      <c r="B25" s="71"/>
      <c r="C25" s="71"/>
      <c r="D25" s="71"/>
      <c r="E25" s="71"/>
    </row>
    <row r="26" spans="1:5" x14ac:dyDescent="0.2">
      <c r="A26" s="70" t="s">
        <v>62</v>
      </c>
      <c r="B26" s="71"/>
      <c r="C26" s="71"/>
      <c r="D26" s="71"/>
      <c r="E26" s="71"/>
    </row>
  </sheetData>
  <mergeCells count="6">
    <mergeCell ref="A24:E24"/>
    <mergeCell ref="A25:E25"/>
    <mergeCell ref="A26:E26"/>
    <mergeCell ref="A1:E1"/>
    <mergeCell ref="A2:E2"/>
    <mergeCell ref="C3:E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tabSelected="1" workbookViewId="0">
      <selection activeCell="F12" sqref="F12"/>
    </sheetView>
  </sheetViews>
  <sheetFormatPr defaultRowHeight="12.75" x14ac:dyDescent="0.2"/>
  <cols>
    <col min="1" max="1" width="23" style="1" customWidth="1"/>
    <col min="2" max="2" width="14.85546875" style="1" customWidth="1"/>
    <col min="3" max="3" width="20.7109375" style="1" customWidth="1"/>
    <col min="4" max="16384" width="9.140625" style="1"/>
  </cols>
  <sheetData>
    <row r="1" spans="1:4" x14ac:dyDescent="0.2">
      <c r="A1" s="67" t="s">
        <v>65</v>
      </c>
      <c r="B1" s="67"/>
      <c r="C1" s="67"/>
    </row>
    <row r="2" spans="1:4" x14ac:dyDescent="0.2">
      <c r="A2" s="68"/>
      <c r="B2" s="68"/>
      <c r="C2" s="68"/>
    </row>
    <row r="3" spans="1:4" ht="14.25" x14ac:dyDescent="0.2">
      <c r="A3" s="20" t="s">
        <v>38</v>
      </c>
      <c r="B3" s="21" t="s">
        <v>63</v>
      </c>
      <c r="C3" s="21" t="s">
        <v>64</v>
      </c>
    </row>
    <row r="4" spans="1:4" x14ac:dyDescent="0.2">
      <c r="A4" s="3" t="s">
        <v>40</v>
      </c>
      <c r="B4" s="26">
        <v>1000</v>
      </c>
      <c r="C4" s="26">
        <v>1000</v>
      </c>
      <c r="D4" s="1">
        <f>C4/$C$15</f>
        <v>0.25</v>
      </c>
    </row>
    <row r="5" spans="1:4" x14ac:dyDescent="0.2">
      <c r="A5" s="2" t="s">
        <v>41</v>
      </c>
      <c r="B5" s="23">
        <v>1300</v>
      </c>
      <c r="C5" s="4">
        <v>200</v>
      </c>
      <c r="D5" s="1">
        <f t="shared" ref="D5:D14" si="0">C5/$C$15</f>
        <v>0.05</v>
      </c>
    </row>
    <row r="6" spans="1:4" x14ac:dyDescent="0.2">
      <c r="A6" s="2" t="s">
        <v>42</v>
      </c>
      <c r="B6" s="23">
        <v>1800</v>
      </c>
      <c r="C6" s="23">
        <v>2400</v>
      </c>
      <c r="D6" s="1">
        <f t="shared" si="0"/>
        <v>0.6</v>
      </c>
    </row>
    <row r="7" spans="1:4" x14ac:dyDescent="0.2">
      <c r="A7" s="2" t="s">
        <v>43</v>
      </c>
      <c r="B7" s="4">
        <v>300</v>
      </c>
      <c r="C7" s="4">
        <v>100</v>
      </c>
      <c r="D7" s="1">
        <f t="shared" si="0"/>
        <v>2.5000000000000001E-2</v>
      </c>
    </row>
    <row r="8" spans="1:4" x14ac:dyDescent="0.2">
      <c r="A8" s="2" t="s">
        <v>44</v>
      </c>
      <c r="B8" s="23">
        <v>1000</v>
      </c>
      <c r="C8" s="22" t="s">
        <v>66</v>
      </c>
    </row>
    <row r="9" spans="1:4" x14ac:dyDescent="0.2">
      <c r="A9" s="2" t="s">
        <v>45</v>
      </c>
      <c r="B9" s="4">
        <v>500</v>
      </c>
      <c r="C9" s="22" t="s">
        <v>66</v>
      </c>
    </row>
    <row r="10" spans="1:4" x14ac:dyDescent="0.2">
      <c r="A10" s="2" t="s">
        <v>46</v>
      </c>
      <c r="B10" s="23">
        <v>1100</v>
      </c>
      <c r="C10" s="4">
        <v>100</v>
      </c>
      <c r="D10" s="1">
        <f t="shared" si="0"/>
        <v>2.5000000000000001E-2</v>
      </c>
    </row>
    <row r="11" spans="1:4" x14ac:dyDescent="0.2">
      <c r="A11" s="2" t="s">
        <v>47</v>
      </c>
      <c r="B11" s="23">
        <v>1000</v>
      </c>
      <c r="C11" s="4">
        <v>200</v>
      </c>
      <c r="D11" s="1">
        <f t="shared" si="0"/>
        <v>0.05</v>
      </c>
    </row>
    <row r="12" spans="1:4" x14ac:dyDescent="0.2">
      <c r="A12" s="2" t="s">
        <v>49</v>
      </c>
      <c r="B12" s="4">
        <v>500</v>
      </c>
      <c r="C12" s="22" t="s">
        <v>66</v>
      </c>
    </row>
    <row r="13" spans="1:4" x14ac:dyDescent="0.2">
      <c r="A13" s="2" t="s">
        <v>53</v>
      </c>
      <c r="B13" s="4">
        <v>300</v>
      </c>
      <c r="C13" s="22" t="s">
        <v>66</v>
      </c>
    </row>
    <row r="14" spans="1:4" x14ac:dyDescent="0.2">
      <c r="A14" s="2" t="s">
        <v>51</v>
      </c>
      <c r="B14" s="24">
        <v>1200</v>
      </c>
      <c r="C14" s="22" t="s">
        <v>66</v>
      </c>
    </row>
    <row r="15" spans="1:4" x14ac:dyDescent="0.2">
      <c r="A15" s="5" t="s">
        <v>39</v>
      </c>
      <c r="B15" s="26">
        <v>10000</v>
      </c>
      <c r="C15" s="26">
        <v>4000</v>
      </c>
    </row>
    <row r="16" spans="1:4" x14ac:dyDescent="0.2">
      <c r="A16" s="19"/>
      <c r="B16" s="19"/>
      <c r="C16" s="19"/>
    </row>
    <row r="17" spans="1:3" x14ac:dyDescent="0.2">
      <c r="A17" s="70" t="s">
        <v>67</v>
      </c>
      <c r="B17" s="70"/>
      <c r="C17" s="70"/>
    </row>
    <row r="18" spans="1:3" x14ac:dyDescent="0.2">
      <c r="A18" s="70" t="s">
        <v>68</v>
      </c>
      <c r="B18" s="71"/>
      <c r="C18" s="71"/>
    </row>
    <row r="19" spans="1:3" x14ac:dyDescent="0.2">
      <c r="A19" s="70" t="s">
        <v>69</v>
      </c>
      <c r="B19" s="71"/>
      <c r="C19" s="71"/>
    </row>
  </sheetData>
  <mergeCells count="5">
    <mergeCell ref="A17:C17"/>
    <mergeCell ref="A18:C18"/>
    <mergeCell ref="A19:C19"/>
    <mergeCell ref="A1:C1"/>
    <mergeCell ref="A2:C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0"/>
  <sheetViews>
    <sheetView zoomScale="130" zoomScaleNormal="130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S8" sqref="S8"/>
    </sheetView>
  </sheetViews>
  <sheetFormatPr defaultRowHeight="12.75" x14ac:dyDescent="0.2"/>
  <cols>
    <col min="1" max="1" width="3" customWidth="1"/>
    <col min="2" max="2" width="20.85546875" customWidth="1"/>
    <col min="3" max="3" width="7.140625" customWidth="1"/>
    <col min="4" max="4" width="10.42578125" bestFit="1" customWidth="1"/>
    <col min="5" max="5" width="11.85546875" bestFit="1" customWidth="1"/>
    <col min="6" max="6" width="14.140625" customWidth="1"/>
    <col min="7" max="7" width="12" bestFit="1" customWidth="1"/>
    <col min="8" max="8" width="9.42578125" bestFit="1" customWidth="1"/>
    <col min="9" max="9" width="7.85546875" bestFit="1" customWidth="1"/>
    <col min="10" max="10" width="9.42578125" bestFit="1" customWidth="1"/>
    <col min="11" max="11" width="7.28515625" bestFit="1" customWidth="1"/>
    <col min="13" max="13" width="1.7109375" customWidth="1"/>
    <col min="14" max="14" width="9.42578125" bestFit="1" customWidth="1"/>
    <col min="15" max="15" width="12.42578125" customWidth="1"/>
    <col min="16" max="16" width="9.42578125" bestFit="1" customWidth="1"/>
    <col min="17" max="20" width="9.7109375" bestFit="1" customWidth="1"/>
    <col min="23" max="23" width="13.85546875" customWidth="1"/>
    <col min="24" max="24" width="18" bestFit="1" customWidth="1"/>
    <col min="25" max="25" width="12.140625" customWidth="1"/>
    <col min="26" max="26" width="11.85546875" customWidth="1"/>
  </cols>
  <sheetData>
    <row r="1" spans="1:25" ht="51" x14ac:dyDescent="0.2">
      <c r="B1" s="60" t="s">
        <v>98</v>
      </c>
      <c r="C1" s="29" t="s">
        <v>70</v>
      </c>
      <c r="D1" s="29" t="s">
        <v>73</v>
      </c>
      <c r="E1" s="29" t="s">
        <v>49</v>
      </c>
      <c r="F1" s="29" t="s">
        <v>53</v>
      </c>
      <c r="G1" s="29" t="s">
        <v>80</v>
      </c>
      <c r="H1" s="29" t="s">
        <v>81</v>
      </c>
      <c r="I1" s="29" t="s">
        <v>43</v>
      </c>
      <c r="J1" s="29" t="s">
        <v>96</v>
      </c>
      <c r="K1" s="29" t="s">
        <v>78</v>
      </c>
      <c r="L1" s="29" t="s">
        <v>79</v>
      </c>
      <c r="M1" s="57"/>
      <c r="N1" s="29" t="s">
        <v>97</v>
      </c>
      <c r="O1" s="29" t="s">
        <v>43</v>
      </c>
      <c r="P1" s="29" t="s">
        <v>96</v>
      </c>
      <c r="Q1" s="29" t="s">
        <v>79</v>
      </c>
      <c r="R1" s="29" t="s">
        <v>81</v>
      </c>
      <c r="S1" s="29" t="s">
        <v>80</v>
      </c>
    </row>
    <row r="2" spans="1:25" ht="14.25" x14ac:dyDescent="0.2">
      <c r="A2" s="73" t="s">
        <v>71</v>
      </c>
      <c r="B2" t="s">
        <v>40</v>
      </c>
      <c r="C2">
        <f>'Exhibit 2'!E5*IF($B$1="Projected",1.1,1)</f>
        <v>28000</v>
      </c>
      <c r="D2" s="32">
        <f>Y3*52000</f>
        <v>5200</v>
      </c>
      <c r="E2" s="32">
        <f>T24*$T$41</f>
        <v>4813.5593220338978</v>
      </c>
      <c r="F2" s="32">
        <f>U24*$Y$39</f>
        <v>2012.8792952449639</v>
      </c>
      <c r="G2" s="32">
        <f>$AC$32</f>
        <v>1818.0556679938475</v>
      </c>
      <c r="H2" s="32">
        <f>$Z$34</f>
        <v>3181.5974189892327</v>
      </c>
      <c r="I2" s="32">
        <f>$Z$48</f>
        <v>7111.434753490289</v>
      </c>
      <c r="J2" s="31">
        <f>SUM(C2:I2)</f>
        <v>52137.526457752232</v>
      </c>
      <c r="K2" s="31">
        <f>'Exhibit 2'!B5*IF($B$1="Projected",1.1,1)</f>
        <v>5000</v>
      </c>
      <c r="L2" s="38">
        <f>J2/K2</f>
        <v>10.427505291550446</v>
      </c>
      <c r="M2" s="58"/>
      <c r="N2" s="50">
        <f t="shared" ref="N2:N13" si="0">SUM(C2:F2)</f>
        <v>40026.438617278865</v>
      </c>
      <c r="O2" s="32">
        <f>Z48</f>
        <v>7111.434753490289</v>
      </c>
      <c r="P2" s="52">
        <f>SUM(N2:O2)</f>
        <v>47137.873370769157</v>
      </c>
      <c r="Q2" s="38">
        <f>P2/K2</f>
        <v>9.4275746741538313</v>
      </c>
      <c r="V2" s="20" t="s">
        <v>38</v>
      </c>
      <c r="W2" s="21" t="s">
        <v>63</v>
      </c>
      <c r="X2" s="21" t="s">
        <v>64</v>
      </c>
      <c r="Y2" t="s">
        <v>99</v>
      </c>
    </row>
    <row r="3" spans="1:25" x14ac:dyDescent="0.2">
      <c r="A3" s="74"/>
      <c r="B3" t="s">
        <v>41</v>
      </c>
      <c r="C3">
        <f>'Exhibit 2'!E6*IF($B$1="Projected",1.1,1)</f>
        <v>20000</v>
      </c>
      <c r="D3" s="32">
        <f t="shared" ref="D3:D10" si="1">Y4*52000</f>
        <v>6760</v>
      </c>
      <c r="E3" s="32">
        <f t="shared" ref="E3:E9" si="2">T25*$T$41</f>
        <v>1203.3898305084745</v>
      </c>
      <c r="F3" s="32">
        <f t="shared" ref="F3:F9" si="3">U25*$Y$39</f>
        <v>4025.7585904899279</v>
      </c>
      <c r="G3" s="32">
        <f t="shared" ref="G3:G6" si="4">$AC$32</f>
        <v>1818.0556679938475</v>
      </c>
      <c r="H3" s="32">
        <f t="shared" ref="H3:H8" si="5">$Z$34</f>
        <v>3181.5974189892327</v>
      </c>
      <c r="I3" s="32">
        <f>$Z$48</f>
        <v>7111.434753490289</v>
      </c>
      <c r="J3" s="31">
        <f t="shared" ref="J3:J13" si="6">SUM(C3:I3)</f>
        <v>44100.236261471771</v>
      </c>
      <c r="K3" s="31">
        <f>'Exhibit 2'!B6*IF($B$1="Projected",1.1,1)</f>
        <v>10000</v>
      </c>
      <c r="L3" s="38">
        <f t="shared" ref="L3:L12" si="7">J3/K3</f>
        <v>4.4100236261471775</v>
      </c>
      <c r="M3" s="58"/>
      <c r="N3" s="50">
        <f t="shared" si="0"/>
        <v>31989.148420998401</v>
      </c>
      <c r="O3" s="32">
        <f>Z48</f>
        <v>7111.434753490289</v>
      </c>
      <c r="P3" s="52">
        <f t="shared" ref="P3:P13" si="8">SUM(N3:O3)</f>
        <v>39100.583174488689</v>
      </c>
      <c r="Q3" s="38">
        <f t="shared" ref="Q3:Q12" si="9">P3/K3</f>
        <v>3.9100583174488688</v>
      </c>
      <c r="V3" s="3" t="s">
        <v>40</v>
      </c>
      <c r="W3" s="26">
        <v>1000</v>
      </c>
      <c r="X3" s="26">
        <v>1000</v>
      </c>
      <c r="Y3">
        <f>W3/$W$14</f>
        <v>0.1</v>
      </c>
    </row>
    <row r="4" spans="1:25" x14ac:dyDescent="0.2">
      <c r="A4" s="74"/>
      <c r="B4" t="s">
        <v>42</v>
      </c>
      <c r="C4">
        <f>'Exhibit 2'!E7*IF($B$1="Projected",1.1,1)</f>
        <v>46000</v>
      </c>
      <c r="D4" s="32">
        <f t="shared" si="1"/>
        <v>9360</v>
      </c>
      <c r="E4" s="32">
        <f t="shared" si="2"/>
        <v>7220.3389830508468</v>
      </c>
      <c r="F4" s="32">
        <f t="shared" si="3"/>
        <v>845.40930400288482</v>
      </c>
      <c r="G4" s="32">
        <f t="shared" si="4"/>
        <v>1818.0556679938475</v>
      </c>
      <c r="H4" s="32">
        <f t="shared" si="5"/>
        <v>3181.5974189892327</v>
      </c>
      <c r="I4" s="32">
        <f>Y50</f>
        <v>14222.869506980578</v>
      </c>
      <c r="J4" s="31">
        <f t="shared" si="6"/>
        <v>82648.270881017394</v>
      </c>
      <c r="K4" s="31">
        <f>'Exhibit 2'!B7*IF($B$1="Projected",1.1,1)</f>
        <v>2100</v>
      </c>
      <c r="L4" s="38">
        <f t="shared" si="7"/>
        <v>39.356319467151138</v>
      </c>
      <c r="M4" s="58"/>
      <c r="N4" s="50">
        <f t="shared" si="0"/>
        <v>63425.748287053728</v>
      </c>
      <c r="O4" s="32">
        <f>Y48</f>
        <v>14222.869506980578</v>
      </c>
      <c r="P4" s="52">
        <f t="shared" si="8"/>
        <v>77648.617794034304</v>
      </c>
      <c r="Q4" s="38">
        <f t="shared" si="9"/>
        <v>36.97553228287348</v>
      </c>
      <c r="V4" s="2" t="s">
        <v>41</v>
      </c>
      <c r="W4" s="23">
        <v>1300</v>
      </c>
      <c r="X4" s="4">
        <v>200</v>
      </c>
      <c r="Y4">
        <f t="shared" ref="Y4:Y13" si="10">W4/$W$14</f>
        <v>0.13</v>
      </c>
    </row>
    <row r="5" spans="1:25" x14ac:dyDescent="0.2">
      <c r="A5" s="74"/>
      <c r="B5" t="s">
        <v>43</v>
      </c>
      <c r="C5">
        <f>'Exhibit 2'!E8*IF($B$1="Projected",1.1,1)</f>
        <v>33000</v>
      </c>
      <c r="D5" s="32">
        <f t="shared" si="1"/>
        <v>1560</v>
      </c>
      <c r="E5" s="32">
        <f t="shared" si="2"/>
        <v>6498.3050847457635</v>
      </c>
      <c r="F5" s="32">
        <f t="shared" si="3"/>
        <v>1610.3034361959712</v>
      </c>
      <c r="G5" s="32">
        <f t="shared" si="4"/>
        <v>1818.0556679938475</v>
      </c>
      <c r="H5" s="32">
        <f t="shared" si="5"/>
        <v>3181.5974189892327</v>
      </c>
      <c r="I5" s="31">
        <f>-(Y47-Y49)</f>
        <v>-28445.73901396116</v>
      </c>
      <c r="J5" s="31">
        <f t="shared" si="6"/>
        <v>19222.522593963651</v>
      </c>
      <c r="K5" s="31">
        <f>'Exhibit 2'!B8*IF($B$1="Projected",1.1,1)</f>
        <v>4000</v>
      </c>
      <c r="L5" s="38">
        <f t="shared" si="7"/>
        <v>4.8056306484909124</v>
      </c>
      <c r="M5" s="58"/>
      <c r="N5" s="50">
        <f t="shared" si="0"/>
        <v>42668.608520941736</v>
      </c>
      <c r="O5" s="31">
        <f>-(Y47-Y49)</f>
        <v>-28445.73901396116</v>
      </c>
      <c r="P5" s="52">
        <f t="shared" si="8"/>
        <v>14222.869506980576</v>
      </c>
      <c r="Q5" s="38">
        <f t="shared" si="9"/>
        <v>3.555717376745144</v>
      </c>
      <c r="V5" s="2" t="s">
        <v>42</v>
      </c>
      <c r="W5" s="23">
        <v>1800</v>
      </c>
      <c r="X5" s="23">
        <v>2400</v>
      </c>
      <c r="Y5">
        <f t="shared" si="10"/>
        <v>0.18</v>
      </c>
    </row>
    <row r="6" spans="1:25" x14ac:dyDescent="0.2">
      <c r="A6" s="74"/>
      <c r="B6" t="s">
        <v>44</v>
      </c>
      <c r="C6">
        <f>'Exhibit 2'!E9*IF($B$1="Projected",1.1,1)</f>
        <v>23000</v>
      </c>
      <c r="D6" s="32">
        <f t="shared" si="1"/>
        <v>5200</v>
      </c>
      <c r="E6" s="32">
        <f t="shared" si="2"/>
        <v>3610.1694915254234</v>
      </c>
      <c r="F6" s="32">
        <f t="shared" si="3"/>
        <v>563.60620266858996</v>
      </c>
      <c r="G6" s="32">
        <f t="shared" si="4"/>
        <v>1818.0556679938475</v>
      </c>
      <c r="H6" s="32">
        <f t="shared" si="5"/>
        <v>3181.5974189892327</v>
      </c>
      <c r="I6" s="32"/>
      <c r="J6" s="31">
        <f t="shared" si="6"/>
        <v>37373.428781177092</v>
      </c>
      <c r="K6" s="31">
        <f>'Exhibit 2'!B9*IF($B$1="Projected",1.1,1)</f>
        <v>1400</v>
      </c>
      <c r="L6" s="38">
        <f t="shared" si="7"/>
        <v>26.695306272269352</v>
      </c>
      <c r="M6" s="58"/>
      <c r="N6" s="50">
        <f t="shared" si="0"/>
        <v>32373.775694194013</v>
      </c>
      <c r="P6" s="52">
        <f t="shared" si="8"/>
        <v>32373.775694194013</v>
      </c>
      <c r="Q6" s="38">
        <f t="shared" si="9"/>
        <v>23.124125495852866</v>
      </c>
      <c r="V6" s="2" t="s">
        <v>43</v>
      </c>
      <c r="W6" s="4">
        <v>300</v>
      </c>
      <c r="X6" s="4">
        <v>100</v>
      </c>
      <c r="Y6">
        <f t="shared" si="10"/>
        <v>0.03</v>
      </c>
    </row>
    <row r="7" spans="1:25" x14ac:dyDescent="0.2">
      <c r="A7" s="74"/>
      <c r="B7" s="1" t="s">
        <v>45</v>
      </c>
      <c r="C7">
        <f>'Exhibit 2'!E10*IF($B$1="Projected",1.1,1)</f>
        <v>40000</v>
      </c>
      <c r="D7" s="32">
        <f t="shared" si="1"/>
        <v>2600</v>
      </c>
      <c r="E7" s="32">
        <f t="shared" si="2"/>
        <v>7701.6949152542375</v>
      </c>
      <c r="F7" s="32">
        <f t="shared" si="3"/>
        <v>603.86378857348927</v>
      </c>
      <c r="G7" s="32">
        <f>-Y29+AC32</f>
        <v>-10908.334007963085</v>
      </c>
      <c r="H7" s="32">
        <f>-Z32</f>
        <v>-19089.584513935395</v>
      </c>
      <c r="I7" s="31"/>
      <c r="J7" s="31">
        <f t="shared" si="6"/>
        <v>20907.64018192924</v>
      </c>
      <c r="K7" s="31">
        <f>'Exhibit 2'!B10*IF($B$1="Projected",1.1,1)</f>
        <v>1500</v>
      </c>
      <c r="L7" s="77">
        <f t="shared" si="7"/>
        <v>13.938426787952826</v>
      </c>
      <c r="M7" s="58"/>
      <c r="N7" s="50">
        <f t="shared" si="0"/>
        <v>50905.558703827723</v>
      </c>
      <c r="P7" s="52">
        <f t="shared" si="8"/>
        <v>50905.558703827723</v>
      </c>
      <c r="Q7" s="38"/>
      <c r="R7" s="53">
        <f>(X28*X27)/4000</f>
        <v>9.544792256967698</v>
      </c>
      <c r="S7" s="53">
        <f>(X28*Y27)/2000</f>
        <v>6.3631948379784653</v>
      </c>
      <c r="V7" s="2" t="s">
        <v>44</v>
      </c>
      <c r="W7" s="23">
        <v>1000</v>
      </c>
      <c r="X7" s="22" t="s">
        <v>66</v>
      </c>
      <c r="Y7">
        <f t="shared" si="10"/>
        <v>0.1</v>
      </c>
    </row>
    <row r="8" spans="1:25" x14ac:dyDescent="0.2">
      <c r="A8" s="74"/>
      <c r="B8" t="s">
        <v>46</v>
      </c>
      <c r="C8">
        <f>'Exhibit 2'!E11*IF($B$1="Projected",1.1,1)</f>
        <v>15000</v>
      </c>
      <c r="D8" s="32">
        <f t="shared" si="1"/>
        <v>5720</v>
      </c>
      <c r="E8" s="32">
        <f t="shared" si="2"/>
        <v>1203.3898305084745</v>
      </c>
      <c r="F8" s="32">
        <f t="shared" si="3"/>
        <v>1006.439647622482</v>
      </c>
      <c r="G8" s="32">
        <f>$AC$32</f>
        <v>1818.0556679938475</v>
      </c>
      <c r="H8" s="32">
        <f t="shared" si="5"/>
        <v>3181.5974189892327</v>
      </c>
      <c r="I8" s="32"/>
      <c r="J8" s="31">
        <f t="shared" si="6"/>
        <v>27929.482565114038</v>
      </c>
      <c r="K8" s="31">
        <f>'Exhibit 2'!B11*IF($B$1="Projected",1.1,1)</f>
        <v>2500</v>
      </c>
      <c r="L8" s="38">
        <f t="shared" si="7"/>
        <v>11.171793026045615</v>
      </c>
      <c r="M8" s="58"/>
      <c r="N8" s="50">
        <f t="shared" si="0"/>
        <v>22929.829478130956</v>
      </c>
      <c r="P8" s="52">
        <f t="shared" si="8"/>
        <v>22929.829478130956</v>
      </c>
      <c r="Q8" s="38">
        <f t="shared" si="9"/>
        <v>9.1719317912523817</v>
      </c>
      <c r="V8" s="2" t="s">
        <v>45</v>
      </c>
      <c r="W8" s="4">
        <v>500</v>
      </c>
      <c r="X8" s="22" t="s">
        <v>66</v>
      </c>
      <c r="Y8">
        <f t="shared" si="10"/>
        <v>0.05</v>
      </c>
    </row>
    <row r="9" spans="1:25" x14ac:dyDescent="0.2">
      <c r="A9" s="74"/>
      <c r="B9" t="s">
        <v>47</v>
      </c>
      <c r="C9">
        <f>'Exhibit 2'!E12*IF($B$1="Projected",1.1,1)</f>
        <v>30000</v>
      </c>
      <c r="D9" s="32">
        <f t="shared" si="1"/>
        <v>5200</v>
      </c>
      <c r="E9" s="32">
        <f t="shared" si="2"/>
        <v>4813.5593220338978</v>
      </c>
      <c r="F9" s="32">
        <f t="shared" si="3"/>
        <v>2576.4854979135539</v>
      </c>
      <c r="G9" s="32"/>
      <c r="H9" s="32"/>
      <c r="I9" s="31"/>
      <c r="J9" s="31">
        <f t="shared" si="6"/>
        <v>42590.044819947456</v>
      </c>
      <c r="K9" s="31">
        <f>'Exhibit 2'!B12*IF($B$1="Projected",1.1,1)</f>
        <v>6400</v>
      </c>
      <c r="L9" s="38">
        <f t="shared" si="7"/>
        <v>6.6546945031167901</v>
      </c>
      <c r="M9" s="58"/>
      <c r="N9" s="50">
        <f t="shared" si="0"/>
        <v>42590.044819947456</v>
      </c>
      <c r="P9" s="52">
        <f t="shared" si="8"/>
        <v>42590.044819947456</v>
      </c>
      <c r="Q9" s="38">
        <f t="shared" si="9"/>
        <v>6.6546945031167901</v>
      </c>
      <c r="V9" s="2" t="s">
        <v>46</v>
      </c>
      <c r="W9" s="23">
        <v>1100</v>
      </c>
      <c r="X9" s="4">
        <v>100</v>
      </c>
      <c r="Y9">
        <f t="shared" si="10"/>
        <v>0.11</v>
      </c>
    </row>
    <row r="10" spans="1:25" x14ac:dyDescent="0.2">
      <c r="A10" s="75" t="s">
        <v>72</v>
      </c>
      <c r="B10" t="s">
        <v>49</v>
      </c>
      <c r="C10" s="61">
        <f>'Exhibit 2'!E14*IF($B$1="Projected",1.1,1)</f>
        <v>40000</v>
      </c>
      <c r="D10" s="32">
        <f t="shared" si="1"/>
        <v>2600</v>
      </c>
      <c r="E10" s="31">
        <f>-SUM(C10:D10)</f>
        <v>-42600</v>
      </c>
      <c r="F10" s="31"/>
      <c r="G10" s="31"/>
      <c r="H10" s="31"/>
      <c r="I10" s="31"/>
      <c r="J10" s="31">
        <f>SUM(C10:I10)</f>
        <v>0</v>
      </c>
      <c r="K10" s="31"/>
      <c r="L10" s="38"/>
      <c r="M10" s="59"/>
      <c r="N10" s="50">
        <f t="shared" si="0"/>
        <v>0</v>
      </c>
      <c r="P10" s="52">
        <f t="shared" si="8"/>
        <v>0</v>
      </c>
      <c r="Q10" s="38"/>
      <c r="V10" s="2" t="s">
        <v>47</v>
      </c>
      <c r="W10" s="23">
        <v>1000</v>
      </c>
      <c r="X10" s="4">
        <v>200</v>
      </c>
      <c r="Y10">
        <f t="shared" si="10"/>
        <v>0.1</v>
      </c>
    </row>
    <row r="11" spans="1:25" x14ac:dyDescent="0.2">
      <c r="A11" s="76"/>
      <c r="B11" s="1" t="s">
        <v>73</v>
      </c>
      <c r="C11" s="61">
        <f>SUM('Exhibit 2'!E15:E16,'Exhibit 2'!E18)*IF($B$1="Projected",1.1,1)</f>
        <v>52000</v>
      </c>
      <c r="D11" s="31">
        <f>-C11</f>
        <v>-52000</v>
      </c>
      <c r="E11" s="31">
        <f>-SUM(C11:D11)</f>
        <v>0</v>
      </c>
      <c r="F11" s="31"/>
      <c r="G11" s="31"/>
      <c r="H11" s="31"/>
      <c r="I11" s="31"/>
      <c r="J11" s="31">
        <f t="shared" si="6"/>
        <v>0</v>
      </c>
      <c r="K11" s="31"/>
      <c r="L11" s="38"/>
      <c r="M11" s="59"/>
      <c r="N11" s="50">
        <f t="shared" si="0"/>
        <v>0</v>
      </c>
      <c r="P11" s="52">
        <f t="shared" si="8"/>
        <v>0</v>
      </c>
      <c r="Q11" s="38"/>
      <c r="V11" s="2" t="s">
        <v>49</v>
      </c>
      <c r="W11" s="4">
        <v>500</v>
      </c>
      <c r="X11" s="22" t="s">
        <v>66</v>
      </c>
      <c r="Y11">
        <f t="shared" si="10"/>
        <v>0.05</v>
      </c>
    </row>
    <row r="12" spans="1:25" x14ac:dyDescent="0.2">
      <c r="A12" s="76"/>
      <c r="B12" s="2" t="s">
        <v>51</v>
      </c>
      <c r="C12" s="61">
        <f>'Exhibit 2'!E17*IF($B$1="Projected",1.1,1)</f>
        <v>25000</v>
      </c>
      <c r="D12" s="32">
        <f>Y13*52000</f>
        <v>6240</v>
      </c>
      <c r="E12" s="32">
        <f>T36*$T$41</f>
        <v>3850.8474576271187</v>
      </c>
      <c r="F12" s="31"/>
      <c r="G12" s="31"/>
      <c r="H12" s="31"/>
      <c r="I12" s="31"/>
      <c r="J12" s="31">
        <f t="shared" si="6"/>
        <v>35090.847457627118</v>
      </c>
      <c r="K12" s="31">
        <f>'Exhibit 3'!C15*IF($B$1="Projected",1.1,1)</f>
        <v>4000</v>
      </c>
      <c r="L12" s="77">
        <f t="shared" si="7"/>
        <v>8.7727118644067801</v>
      </c>
      <c r="M12" s="59"/>
      <c r="N12" s="50">
        <f t="shared" si="0"/>
        <v>35090.847457627118</v>
      </c>
      <c r="P12" s="52">
        <f t="shared" si="8"/>
        <v>35090.847457627118</v>
      </c>
      <c r="Q12" s="77">
        <f t="shared" si="9"/>
        <v>8.7727118644067801</v>
      </c>
      <c r="V12" s="2" t="s">
        <v>53</v>
      </c>
      <c r="W12" s="4">
        <v>300</v>
      </c>
      <c r="X12" s="22" t="s">
        <v>66</v>
      </c>
      <c r="Y12">
        <f t="shared" si="10"/>
        <v>0.03</v>
      </c>
    </row>
    <row r="13" spans="1:25" x14ac:dyDescent="0.2">
      <c r="A13" s="76"/>
      <c r="B13" t="s">
        <v>53</v>
      </c>
      <c r="C13" s="62">
        <f>'Exhibit 2'!E19*IF($B$1="Projected",1.1,1)</f>
        <v>10000</v>
      </c>
      <c r="D13" s="33">
        <f>Y12*52000</f>
        <v>1560</v>
      </c>
      <c r="E13" s="33">
        <f>T38*T41</f>
        <v>1684.7457627118645</v>
      </c>
      <c r="F13" s="34">
        <f>-SUM(C13:E13)</f>
        <v>-13244.745762711864</v>
      </c>
      <c r="G13" s="34"/>
      <c r="H13" s="34"/>
      <c r="I13" s="34"/>
      <c r="J13" s="34">
        <f t="shared" si="6"/>
        <v>0</v>
      </c>
      <c r="K13" s="31"/>
      <c r="L13" s="31"/>
      <c r="M13" s="59"/>
      <c r="N13" s="51">
        <f t="shared" si="0"/>
        <v>0</v>
      </c>
      <c r="O13" s="51"/>
      <c r="P13" s="54">
        <f t="shared" si="8"/>
        <v>0</v>
      </c>
      <c r="Q13" s="38"/>
      <c r="V13" s="2" t="s">
        <v>51</v>
      </c>
      <c r="W13" s="24">
        <v>1200</v>
      </c>
      <c r="X13" s="22" t="s">
        <v>66</v>
      </c>
      <c r="Y13">
        <f t="shared" si="10"/>
        <v>0.12</v>
      </c>
    </row>
    <row r="14" spans="1:25" x14ac:dyDescent="0.2">
      <c r="C14" s="28">
        <f t="shared" ref="C14:J14" si="11">SUM(C2:C13)</f>
        <v>362000</v>
      </c>
      <c r="D14" s="30">
        <f t="shared" si="11"/>
        <v>0</v>
      </c>
      <c r="E14" s="30">
        <f t="shared" si="11"/>
        <v>-6.1390892369672656E-12</v>
      </c>
      <c r="F14" s="30">
        <f t="shared" si="11"/>
        <v>0</v>
      </c>
      <c r="G14" s="30">
        <f t="shared" si="11"/>
        <v>0</v>
      </c>
      <c r="H14" s="30">
        <f t="shared" si="11"/>
        <v>0</v>
      </c>
      <c r="I14" s="30">
        <f t="shared" si="11"/>
        <v>0</v>
      </c>
      <c r="J14" s="37">
        <f t="shared" si="11"/>
        <v>362000</v>
      </c>
      <c r="K14" s="31"/>
      <c r="L14" s="31"/>
      <c r="M14" s="59"/>
      <c r="N14" s="37">
        <f>SUM(N2:N13)</f>
        <v>362000</v>
      </c>
      <c r="O14" s="37">
        <f>SUM(O2:O13)</f>
        <v>0</v>
      </c>
      <c r="P14" s="37">
        <f>SUM(P2:P13)</f>
        <v>362000</v>
      </c>
      <c r="R14" s="56">
        <v>0.95</v>
      </c>
      <c r="S14" s="55">
        <v>1</v>
      </c>
      <c r="V14" s="5" t="s">
        <v>39</v>
      </c>
      <c r="W14" s="26">
        <v>10000</v>
      </c>
      <c r="X14" s="26">
        <v>4000</v>
      </c>
    </row>
    <row r="15" spans="1:25" x14ac:dyDescent="0.2">
      <c r="M15" s="57"/>
      <c r="V15" s="19"/>
      <c r="W15" s="19"/>
      <c r="X15" s="19"/>
    </row>
    <row r="16" spans="1:25" x14ac:dyDescent="0.2">
      <c r="C16" s="28" t="s">
        <v>74</v>
      </c>
      <c r="V16" s="70" t="s">
        <v>67</v>
      </c>
      <c r="W16" s="70"/>
      <c r="X16" s="70"/>
    </row>
    <row r="17" spans="2:29" x14ac:dyDescent="0.2">
      <c r="B17" s="1" t="s">
        <v>73</v>
      </c>
      <c r="C17" s="1" t="s">
        <v>75</v>
      </c>
      <c r="V17" s="70" t="s">
        <v>68</v>
      </c>
      <c r="W17" s="71"/>
      <c r="X17" s="71"/>
    </row>
    <row r="18" spans="2:29" x14ac:dyDescent="0.2">
      <c r="B18" s="1" t="s">
        <v>49</v>
      </c>
      <c r="C18" s="1" t="s">
        <v>76</v>
      </c>
      <c r="V18" s="70" t="s">
        <v>69</v>
      </c>
      <c r="W18" s="71"/>
      <c r="X18" s="71"/>
    </row>
    <row r="19" spans="2:29" x14ac:dyDescent="0.2">
      <c r="B19" s="1" t="s">
        <v>53</v>
      </c>
      <c r="C19" s="1" t="s">
        <v>77</v>
      </c>
    </row>
    <row r="20" spans="2:29" x14ac:dyDescent="0.2">
      <c r="B20" s="1" t="s">
        <v>85</v>
      </c>
      <c r="C20" s="1" t="s">
        <v>87</v>
      </c>
      <c r="O20" s="67" t="s">
        <v>56</v>
      </c>
      <c r="P20" s="67"/>
      <c r="Q20" s="67"/>
      <c r="R20" s="67"/>
      <c r="S20" s="67"/>
      <c r="T20" s="1"/>
    </row>
    <row r="21" spans="2:29" x14ac:dyDescent="0.2">
      <c r="B21" s="1" t="s">
        <v>86</v>
      </c>
      <c r="C21" s="1" t="s">
        <v>88</v>
      </c>
      <c r="O21" s="68"/>
      <c r="P21" s="68"/>
      <c r="Q21" s="68"/>
      <c r="R21" s="68"/>
      <c r="S21" s="68"/>
      <c r="T21" s="1"/>
    </row>
    <row r="22" spans="2:29" ht="14.25" x14ac:dyDescent="0.2">
      <c r="B22" s="1" t="s">
        <v>43</v>
      </c>
      <c r="C22" s="1" t="s">
        <v>89</v>
      </c>
      <c r="I22" s="65"/>
      <c r="O22" s="12"/>
      <c r="P22" s="12"/>
      <c r="Q22" s="72" t="s">
        <v>30</v>
      </c>
      <c r="R22" s="72"/>
      <c r="S22" s="72"/>
      <c r="T22" s="1"/>
    </row>
    <row r="23" spans="2:29" ht="38.25" x14ac:dyDescent="0.2">
      <c r="O23" s="14" t="s">
        <v>38</v>
      </c>
      <c r="P23" s="13" t="s">
        <v>58</v>
      </c>
      <c r="Q23" s="15" t="s">
        <v>57</v>
      </c>
      <c r="R23" s="15" t="s">
        <v>59</v>
      </c>
      <c r="S23" s="15" t="s">
        <v>39</v>
      </c>
      <c r="T23" s="13" t="s">
        <v>102</v>
      </c>
      <c r="U23" s="13" t="s">
        <v>103</v>
      </c>
      <c r="X23" s="13" t="s">
        <v>106</v>
      </c>
      <c r="Y23" s="13" t="s">
        <v>107</v>
      </c>
    </row>
    <row r="24" spans="2:29" x14ac:dyDescent="0.2">
      <c r="I24" s="63" t="s">
        <v>127</v>
      </c>
      <c r="O24" s="3" t="s">
        <v>40</v>
      </c>
      <c r="P24" s="26">
        <v>5000</v>
      </c>
      <c r="Q24" s="18">
        <v>20000</v>
      </c>
      <c r="R24" s="16">
        <v>8000</v>
      </c>
      <c r="S24" s="18">
        <v>28000</v>
      </c>
      <c r="T24" s="1">
        <f>Q24/$T$42</f>
        <v>0.11299435028248588</v>
      </c>
      <c r="U24">
        <f>P24/$P$32</f>
        <v>0.1519756838905775</v>
      </c>
      <c r="W24" t="s">
        <v>108</v>
      </c>
      <c r="X24">
        <v>2</v>
      </c>
      <c r="Y24">
        <v>1</v>
      </c>
    </row>
    <row r="25" spans="2:29" x14ac:dyDescent="0.2">
      <c r="I25" s="63" t="s">
        <v>128</v>
      </c>
      <c r="O25" s="2" t="s">
        <v>41</v>
      </c>
      <c r="P25" s="23">
        <v>10000</v>
      </c>
      <c r="Q25" s="23">
        <v>5000</v>
      </c>
      <c r="R25" s="23">
        <v>15000</v>
      </c>
      <c r="S25" s="23">
        <v>20000</v>
      </c>
      <c r="T25" s="1">
        <f t="shared" ref="T25:T31" si="12">Q25/$T$42</f>
        <v>2.8248587570621469E-2</v>
      </c>
      <c r="U25">
        <f t="shared" ref="U25:U31" si="13">P25/$P$32</f>
        <v>0.303951367781155</v>
      </c>
      <c r="W25" t="s">
        <v>109</v>
      </c>
      <c r="X25">
        <v>12000</v>
      </c>
      <c r="Y25">
        <v>8000</v>
      </c>
    </row>
    <row r="26" spans="2:29" x14ac:dyDescent="0.2">
      <c r="O26" s="2" t="s">
        <v>42</v>
      </c>
      <c r="P26" s="23">
        <v>2100</v>
      </c>
      <c r="Q26" s="23">
        <v>30000</v>
      </c>
      <c r="R26" s="23">
        <v>16000</v>
      </c>
      <c r="S26" s="23">
        <v>46000</v>
      </c>
      <c r="T26" s="1">
        <f t="shared" si="12"/>
        <v>0.16949152542372881</v>
      </c>
      <c r="U26">
        <f t="shared" si="13"/>
        <v>6.3829787234042548E-2</v>
      </c>
      <c r="X26">
        <f>X25*X24</f>
        <v>24000</v>
      </c>
      <c r="Y26">
        <f>Y25*Y24</f>
        <v>8000</v>
      </c>
      <c r="Z26">
        <f>Y26+X26</f>
        <v>32000</v>
      </c>
    </row>
    <row r="27" spans="2:29" x14ac:dyDescent="0.2">
      <c r="E27" s="63" t="s">
        <v>124</v>
      </c>
      <c r="O27" s="2" t="s">
        <v>43</v>
      </c>
      <c r="P27" s="23">
        <v>4000</v>
      </c>
      <c r="Q27" s="23">
        <v>27000</v>
      </c>
      <c r="R27" s="23">
        <v>6000</v>
      </c>
      <c r="S27" s="23">
        <v>33000</v>
      </c>
      <c r="T27" s="1">
        <f t="shared" si="12"/>
        <v>0.15254237288135594</v>
      </c>
      <c r="U27">
        <f t="shared" si="13"/>
        <v>0.12158054711246201</v>
      </c>
      <c r="X27">
        <f>X26/Z26</f>
        <v>0.75</v>
      </c>
      <c r="Y27">
        <f>Y26/Z26</f>
        <v>0.25</v>
      </c>
    </row>
    <row r="28" spans="2:29" x14ac:dyDescent="0.2">
      <c r="E28" s="63" t="s">
        <v>120</v>
      </c>
      <c r="O28" s="2" t="s">
        <v>44</v>
      </c>
      <c r="P28" s="23">
        <v>1400</v>
      </c>
      <c r="Q28" s="23">
        <v>15000</v>
      </c>
      <c r="R28" s="23">
        <v>8000</v>
      </c>
      <c r="S28" s="23">
        <v>23000</v>
      </c>
      <c r="T28" s="1">
        <f t="shared" si="12"/>
        <v>8.4745762711864403E-2</v>
      </c>
      <c r="U28">
        <f t="shared" si="13"/>
        <v>4.2553191489361701E-2</v>
      </c>
      <c r="W28" t="s">
        <v>110</v>
      </c>
      <c r="X28">
        <f>SUM(C7:F7)</f>
        <v>50905.558703827723</v>
      </c>
    </row>
    <row r="29" spans="2:29" x14ac:dyDescent="0.2">
      <c r="E29" s="63" t="s">
        <v>121</v>
      </c>
      <c r="O29" s="2" t="s">
        <v>45</v>
      </c>
      <c r="P29" s="23">
        <v>1500</v>
      </c>
      <c r="Q29" s="23">
        <v>32000</v>
      </c>
      <c r="R29" s="23">
        <v>8000</v>
      </c>
      <c r="S29" s="23">
        <v>40000</v>
      </c>
      <c r="T29" s="1">
        <f t="shared" si="12"/>
        <v>0.1807909604519774</v>
      </c>
      <c r="U29">
        <f t="shared" si="13"/>
        <v>4.5592705167173252E-2</v>
      </c>
      <c r="X29">
        <f>X28*(X26/Z26)</f>
        <v>38179.16902787079</v>
      </c>
      <c r="Y29">
        <f>X28-X29</f>
        <v>12726.389675956932</v>
      </c>
    </row>
    <row r="30" spans="2:29" x14ac:dyDescent="0.2">
      <c r="E30" s="63" t="s">
        <v>122</v>
      </c>
      <c r="O30" s="2" t="s">
        <v>46</v>
      </c>
      <c r="P30" s="23">
        <v>2500</v>
      </c>
      <c r="Q30" s="23">
        <v>5000</v>
      </c>
      <c r="R30" s="23">
        <v>10000</v>
      </c>
      <c r="S30" s="23">
        <v>15000</v>
      </c>
      <c r="T30" s="1">
        <f t="shared" si="12"/>
        <v>2.8248587570621469E-2</v>
      </c>
      <c r="U30">
        <f t="shared" si="13"/>
        <v>7.598784194528875E-2</v>
      </c>
    </row>
    <row r="31" spans="2:29" x14ac:dyDescent="0.2">
      <c r="E31" s="63" t="s">
        <v>123</v>
      </c>
      <c r="O31" s="2" t="s">
        <v>47</v>
      </c>
      <c r="P31" s="24">
        <v>6400</v>
      </c>
      <c r="Q31" s="24">
        <v>20000</v>
      </c>
      <c r="R31" s="24">
        <v>10000</v>
      </c>
      <c r="S31" s="24">
        <v>30000</v>
      </c>
      <c r="T31" s="1">
        <f t="shared" si="12"/>
        <v>0.11299435028248588</v>
      </c>
      <c r="U31">
        <f t="shared" si="13"/>
        <v>0.19452887537993921</v>
      </c>
    </row>
    <row r="32" spans="2:29" x14ac:dyDescent="0.2">
      <c r="O32" s="5" t="s">
        <v>48</v>
      </c>
      <c r="P32" s="26">
        <f>SUM(P24:P31)</f>
        <v>32900</v>
      </c>
      <c r="Q32" s="26">
        <f>SUM(Q24:Q31)</f>
        <v>154000</v>
      </c>
      <c r="R32" s="26">
        <f>SUM(R24:R31)</f>
        <v>81000</v>
      </c>
      <c r="S32" s="26">
        <f>SUM(S24:S31)</f>
        <v>235000</v>
      </c>
      <c r="T32" s="1"/>
      <c r="X32" t="s">
        <v>111</v>
      </c>
      <c r="Z32">
        <f>X28*X27*(1/2)</f>
        <v>19089.584513935395</v>
      </c>
      <c r="AA32" t="s">
        <v>114</v>
      </c>
      <c r="AC32">
        <f>Y29/7</f>
        <v>1818.0556679938475</v>
      </c>
    </row>
    <row r="33" spans="5:26" x14ac:dyDescent="0.2">
      <c r="O33" s="2" t="s">
        <v>49</v>
      </c>
      <c r="P33" s="4"/>
      <c r="Q33" s="23">
        <v>38000</v>
      </c>
      <c r="R33" s="23">
        <v>2000</v>
      </c>
      <c r="S33" s="23">
        <v>40000</v>
      </c>
      <c r="T33" s="1"/>
      <c r="X33" t="s">
        <v>112</v>
      </c>
      <c r="Z33">
        <f>Z32</f>
        <v>19089.584513935395</v>
      </c>
    </row>
    <row r="34" spans="5:26" x14ac:dyDescent="0.2">
      <c r="E34" s="63" t="s">
        <v>125</v>
      </c>
      <c r="O34" s="2" t="s">
        <v>50</v>
      </c>
      <c r="P34" s="4"/>
      <c r="Q34" s="17"/>
      <c r="R34" s="23">
        <v>36000</v>
      </c>
      <c r="S34" s="23">
        <v>36000</v>
      </c>
      <c r="T34" s="1"/>
      <c r="X34" t="s">
        <v>113</v>
      </c>
      <c r="Z34">
        <f>Z33/6</f>
        <v>3181.5974189892327</v>
      </c>
    </row>
    <row r="35" spans="5:26" x14ac:dyDescent="0.2">
      <c r="O35" s="2" t="s">
        <v>32</v>
      </c>
      <c r="P35" s="4"/>
      <c r="Q35" s="17"/>
      <c r="R35" s="23">
        <v>10000</v>
      </c>
      <c r="S35" s="23">
        <v>10000</v>
      </c>
      <c r="T35" s="1"/>
    </row>
    <row r="36" spans="5:26" x14ac:dyDescent="0.2">
      <c r="E36" s="63" t="s">
        <v>126</v>
      </c>
      <c r="O36" s="2" t="s">
        <v>51</v>
      </c>
      <c r="P36" s="4"/>
      <c r="Q36" s="23">
        <v>16000</v>
      </c>
      <c r="R36" s="23">
        <v>9000</v>
      </c>
      <c r="S36" s="23">
        <v>25000</v>
      </c>
      <c r="T36" s="1">
        <f t="shared" ref="T36" si="14">Q36/$T$42</f>
        <v>9.03954802259887E-2</v>
      </c>
    </row>
    <row r="37" spans="5:26" x14ac:dyDescent="0.2">
      <c r="O37" s="2" t="s">
        <v>52</v>
      </c>
      <c r="P37" s="4"/>
      <c r="Q37" s="17"/>
      <c r="R37" s="23">
        <v>6000</v>
      </c>
      <c r="S37" s="23">
        <v>6000</v>
      </c>
      <c r="T37" s="1"/>
    </row>
    <row r="38" spans="5:26" x14ac:dyDescent="0.2">
      <c r="O38" s="2" t="s">
        <v>53</v>
      </c>
      <c r="P38" s="4"/>
      <c r="Q38" s="24">
        <v>7000</v>
      </c>
      <c r="R38" s="24">
        <v>3000</v>
      </c>
      <c r="S38" s="24">
        <v>10000</v>
      </c>
      <c r="T38" s="1">
        <f t="shared" ref="T38" si="15">Q38/$T$42</f>
        <v>3.954802259887006E-2</v>
      </c>
      <c r="V38" t="s">
        <v>105</v>
      </c>
    </row>
    <row r="39" spans="5:26" x14ac:dyDescent="0.2">
      <c r="O39" s="5" t="s">
        <v>39</v>
      </c>
      <c r="P39" s="4"/>
      <c r="Q39" s="16">
        <f>SUM(Q32:Q38)</f>
        <v>215000</v>
      </c>
      <c r="R39" s="16">
        <v>147000</v>
      </c>
      <c r="S39" s="16">
        <v>362000</v>
      </c>
      <c r="T39" s="1"/>
      <c r="V39" s="61">
        <f>S38</f>
        <v>10000</v>
      </c>
      <c r="W39" s="42">
        <f>E13</f>
        <v>1684.7457627118645</v>
      </c>
      <c r="X39" s="42">
        <f>D13</f>
        <v>1560</v>
      </c>
      <c r="Y39" s="66">
        <f>SUM(V39:X39)</f>
        <v>13244.745762711864</v>
      </c>
    </row>
    <row r="40" spans="5:26" x14ac:dyDescent="0.2">
      <c r="O40" s="2" t="s">
        <v>54</v>
      </c>
      <c r="P40" s="4"/>
      <c r="Q40" s="4"/>
      <c r="R40" s="4"/>
      <c r="S40" s="23">
        <v>32900</v>
      </c>
      <c r="T40" s="1"/>
    </row>
    <row r="41" spans="5:26" x14ac:dyDescent="0.2">
      <c r="O41" s="2" t="s">
        <v>55</v>
      </c>
      <c r="P41" s="4"/>
      <c r="Q41" s="4"/>
      <c r="R41" s="4"/>
      <c r="S41" s="27">
        <v>11</v>
      </c>
      <c r="T41" s="64">
        <f>S33+D10</f>
        <v>42600</v>
      </c>
      <c r="U41" t="s">
        <v>104</v>
      </c>
    </row>
    <row r="42" spans="5:26" x14ac:dyDescent="0.2">
      <c r="O42" s="1"/>
      <c r="P42" s="1"/>
      <c r="Q42" s="35"/>
      <c r="R42" s="1"/>
      <c r="S42" s="1"/>
      <c r="T42" s="35">
        <f>Q39-Q33</f>
        <v>177000</v>
      </c>
      <c r="U42" t="s">
        <v>115</v>
      </c>
    </row>
    <row r="43" spans="5:26" x14ac:dyDescent="0.2">
      <c r="O43" s="70" t="s">
        <v>60</v>
      </c>
      <c r="P43" s="70"/>
      <c r="Q43" s="70"/>
      <c r="R43" s="70"/>
      <c r="S43" s="70"/>
      <c r="T43" s="1"/>
    </row>
    <row r="44" spans="5:26" x14ac:dyDescent="0.2">
      <c r="O44" s="70" t="s">
        <v>61</v>
      </c>
      <c r="P44" s="71"/>
      <c r="Q44" s="71"/>
      <c r="R44" s="71"/>
      <c r="S44" s="71"/>
      <c r="T44" s="1"/>
    </row>
    <row r="45" spans="5:26" x14ac:dyDescent="0.2">
      <c r="O45" s="70" t="s">
        <v>62</v>
      </c>
      <c r="P45" s="71"/>
      <c r="Q45" s="71"/>
      <c r="R45" s="71"/>
      <c r="S45" s="71"/>
      <c r="T45" s="1"/>
    </row>
    <row r="46" spans="5:26" x14ac:dyDescent="0.2">
      <c r="O46" s="1"/>
      <c r="P46" s="1"/>
      <c r="Q46" s="1"/>
      <c r="R46" s="1"/>
      <c r="S46" s="1"/>
      <c r="T46" s="1"/>
    </row>
    <row r="47" spans="5:26" x14ac:dyDescent="0.2">
      <c r="O47" s="1"/>
      <c r="P47" s="1"/>
      <c r="Q47" s="1"/>
      <c r="R47" s="1"/>
      <c r="S47" s="1"/>
      <c r="T47" s="1"/>
      <c r="W47" t="s">
        <v>116</v>
      </c>
      <c r="Y47" s="65">
        <f>N5</f>
        <v>42668.608520941736</v>
      </c>
    </row>
    <row r="48" spans="5:26" x14ac:dyDescent="0.2">
      <c r="W48" t="s">
        <v>117</v>
      </c>
      <c r="Y48">
        <f>Y47/3</f>
        <v>14222.869506980578</v>
      </c>
      <c r="Z48">
        <f>Y48/2</f>
        <v>7111.434753490289</v>
      </c>
    </row>
    <row r="49" spans="23:25" x14ac:dyDescent="0.2">
      <c r="W49" t="s">
        <v>118</v>
      </c>
      <c r="Y49">
        <f>Y47/3</f>
        <v>14222.869506980578</v>
      </c>
    </row>
    <row r="50" spans="23:25" x14ac:dyDescent="0.2">
      <c r="W50" t="s">
        <v>119</v>
      </c>
      <c r="Y50">
        <f>Y47/3</f>
        <v>14222.869506980578</v>
      </c>
    </row>
  </sheetData>
  <mergeCells count="11">
    <mergeCell ref="O43:S43"/>
    <mergeCell ref="O44:S44"/>
    <mergeCell ref="O45:S45"/>
    <mergeCell ref="V16:X16"/>
    <mergeCell ref="V17:X17"/>
    <mergeCell ref="V18:X18"/>
    <mergeCell ref="A2:A9"/>
    <mergeCell ref="A10:A13"/>
    <mergeCell ref="O20:S20"/>
    <mergeCell ref="O21:S21"/>
    <mergeCell ref="Q22:S22"/>
  </mergeCells>
  <dataValidations disablePrompts="1" count="1">
    <dataValidation type="list" allowBlank="1" showInputMessage="1" showErrorMessage="1" sqref="B1" xr:uid="{00000000-0002-0000-0300-000000000000}">
      <formula1>"Current,Projected"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zoomScale="130" zoomScaleNormal="130" workbookViewId="0">
      <selection activeCell="B21" sqref="B21"/>
    </sheetView>
  </sheetViews>
  <sheetFormatPr defaultRowHeight="12.75" x14ac:dyDescent="0.2"/>
  <cols>
    <col min="1" max="1" width="9.85546875" bestFit="1" customWidth="1"/>
    <col min="9" max="9" width="16.42578125" bestFit="1" customWidth="1"/>
  </cols>
  <sheetData>
    <row r="1" spans="1:12" x14ac:dyDescent="0.2">
      <c r="J1" s="1"/>
      <c r="K1" s="1"/>
      <c r="L1" s="1"/>
    </row>
    <row r="2" spans="1:12" x14ac:dyDescent="0.2">
      <c r="A2" s="1" t="s">
        <v>71</v>
      </c>
      <c r="B2" t="s">
        <v>40</v>
      </c>
      <c r="C2">
        <v>25000</v>
      </c>
      <c r="E2" s="28" t="s">
        <v>82</v>
      </c>
    </row>
    <row r="3" spans="1:12" x14ac:dyDescent="0.2">
      <c r="B3" s="1" t="s">
        <v>47</v>
      </c>
      <c r="C3">
        <v>20000</v>
      </c>
      <c r="E3" s="41" t="s">
        <v>92</v>
      </c>
    </row>
    <row r="4" spans="1:12" x14ac:dyDescent="0.2">
      <c r="A4" s="1" t="s">
        <v>72</v>
      </c>
      <c r="B4" s="1" t="s">
        <v>90</v>
      </c>
      <c r="C4">
        <v>5000</v>
      </c>
      <c r="D4" s="1"/>
      <c r="E4" s="1" t="s">
        <v>93</v>
      </c>
    </row>
    <row r="5" spans="1:12" x14ac:dyDescent="0.2">
      <c r="B5" s="1" t="s">
        <v>91</v>
      </c>
      <c r="C5">
        <v>4400</v>
      </c>
    </row>
    <row r="6" spans="1:12" x14ac:dyDescent="0.2">
      <c r="E6" s="41" t="s">
        <v>95</v>
      </c>
    </row>
    <row r="7" spans="1:12" x14ac:dyDescent="0.2">
      <c r="B7" s="40" t="str">
        <f>B4</f>
        <v>Xray</v>
      </c>
      <c r="C7" s="40" t="str">
        <f>B5</f>
        <v>Lab</v>
      </c>
      <c r="I7" s="1"/>
    </row>
    <row r="8" spans="1:12" x14ac:dyDescent="0.2">
      <c r="A8" t="str">
        <f>B2</f>
        <v>Pediatrics</v>
      </c>
      <c r="B8" s="39">
        <v>0.5</v>
      </c>
      <c r="C8" s="39">
        <v>0.4</v>
      </c>
      <c r="E8" s="1" t="s">
        <v>94</v>
      </c>
      <c r="I8" s="1"/>
    </row>
    <row r="9" spans="1:12" x14ac:dyDescent="0.2">
      <c r="A9" t="str">
        <f>B3</f>
        <v>Dental</v>
      </c>
      <c r="B9" s="39">
        <v>0.4</v>
      </c>
      <c r="C9" s="39">
        <v>0.4</v>
      </c>
      <c r="E9" t="str">
        <f>B4</f>
        <v>Xray</v>
      </c>
      <c r="F9" s="45">
        <f>(C4+C10*C5)/(1-C10*B11)</f>
        <v>6000</v>
      </c>
    </row>
    <row r="10" spans="1:12" x14ac:dyDescent="0.2">
      <c r="A10" t="str">
        <f>B4</f>
        <v>Xray</v>
      </c>
      <c r="B10" s="39"/>
      <c r="C10" s="39">
        <v>0.2</v>
      </c>
      <c r="E10" t="str">
        <f>B5</f>
        <v>Lab</v>
      </c>
      <c r="F10" s="45">
        <f>C5+0.1*F9</f>
        <v>5000</v>
      </c>
    </row>
    <row r="11" spans="1:12" x14ac:dyDescent="0.2">
      <c r="A11" t="str">
        <f>B5</f>
        <v>Lab</v>
      </c>
      <c r="B11" s="39">
        <v>0.1</v>
      </c>
      <c r="C11" s="39"/>
      <c r="I11" s="2"/>
    </row>
    <row r="12" spans="1:12" x14ac:dyDescent="0.2">
      <c r="B12" s="44">
        <f>SUM(B8:B11)</f>
        <v>1</v>
      </c>
      <c r="C12" s="44">
        <f>SUM(C8:C11)</f>
        <v>1</v>
      </c>
      <c r="I12" s="1"/>
    </row>
    <row r="16" spans="1:12" x14ac:dyDescent="0.2">
      <c r="B16" s="1" t="s">
        <v>38</v>
      </c>
      <c r="D16" s="40" t="str">
        <f t="array" ref="D16:G16">TRANSPOSE(B2:B5)</f>
        <v>Pediatrics</v>
      </c>
      <c r="E16" s="40" t="str">
        <v>Dental</v>
      </c>
      <c r="F16" s="40" t="str">
        <v>Xray</v>
      </c>
      <c r="G16" s="40" t="str">
        <v>Lab</v>
      </c>
      <c r="H16" s="40" t="s">
        <v>96</v>
      </c>
    </row>
    <row r="17" spans="2:8" x14ac:dyDescent="0.2">
      <c r="B17" s="1" t="s">
        <v>83</v>
      </c>
      <c r="D17">
        <f t="array" ref="D17:G17">TRANSPOSE(C2:C5)</f>
        <v>25000</v>
      </c>
      <c r="E17">
        <v>20000</v>
      </c>
      <c r="F17">
        <v>5000</v>
      </c>
      <c r="G17">
        <v>4400</v>
      </c>
      <c r="H17">
        <f>SUM(D17:G17)</f>
        <v>54400</v>
      </c>
    </row>
    <row r="18" spans="2:8" x14ac:dyDescent="0.2">
      <c r="B18" s="1" t="s">
        <v>84</v>
      </c>
    </row>
    <row r="19" spans="2:8" x14ac:dyDescent="0.2">
      <c r="B19" s="63" t="s">
        <v>90</v>
      </c>
      <c r="D19" s="42">
        <f>$F$9*B8</f>
        <v>3000</v>
      </c>
      <c r="E19" s="42">
        <f>$F$9*B9</f>
        <v>2400</v>
      </c>
      <c r="F19" s="42">
        <f>-F9</f>
        <v>-6000</v>
      </c>
      <c r="G19" s="42">
        <f>$F$9*B11</f>
        <v>600</v>
      </c>
      <c r="H19" s="30">
        <f>$F$9*C11</f>
        <v>0</v>
      </c>
    </row>
    <row r="20" spans="2:8" x14ac:dyDescent="0.2">
      <c r="B20" s="63" t="s">
        <v>91</v>
      </c>
      <c r="D20" s="43">
        <f>$F$10*C8</f>
        <v>2000</v>
      </c>
      <c r="E20" s="43">
        <f>$F$10*C9</f>
        <v>2000</v>
      </c>
      <c r="F20" s="43">
        <f>$F$10*C10</f>
        <v>1000</v>
      </c>
      <c r="G20" s="43">
        <f>-F10</f>
        <v>-5000</v>
      </c>
      <c r="H20" s="36">
        <f>-G10</f>
        <v>0</v>
      </c>
    </row>
    <row r="21" spans="2:8" ht="13.5" thickBot="1" x14ac:dyDescent="0.25">
      <c r="D21" s="46">
        <f>SUM(D17:D20)</f>
        <v>30000</v>
      </c>
      <c r="E21" s="46">
        <f>SUM(E17:E20)</f>
        <v>24400</v>
      </c>
      <c r="F21" s="47">
        <f>SUM(F17:F20)</f>
        <v>0</v>
      </c>
      <c r="G21" s="47">
        <f>SUM(G17:G20)</f>
        <v>0</v>
      </c>
      <c r="H21" s="49">
        <f>SUM(H17:H20)</f>
        <v>54400</v>
      </c>
    </row>
    <row r="22" spans="2:8" ht="13.5" thickTop="1" x14ac:dyDescent="0.2"/>
    <row r="23" spans="2:8" x14ac:dyDescent="0.2">
      <c r="B23" s="1" t="s">
        <v>83</v>
      </c>
      <c r="D23">
        <v>25000</v>
      </c>
      <c r="E23">
        <v>20000</v>
      </c>
      <c r="F23">
        <v>5000</v>
      </c>
      <c r="G23">
        <v>4400</v>
      </c>
    </row>
    <row r="24" spans="2:8" x14ac:dyDescent="0.2">
      <c r="B24" s="1" t="s">
        <v>84</v>
      </c>
      <c r="C24" s="1" t="s">
        <v>90</v>
      </c>
      <c r="D24" s="43">
        <f>-F24*0.5</f>
        <v>2500</v>
      </c>
      <c r="E24" s="43">
        <f>-F24*0.4</f>
        <v>2000</v>
      </c>
      <c r="F24" s="43">
        <f>-F23</f>
        <v>-5000</v>
      </c>
      <c r="G24" s="43">
        <f>-F24*0.1</f>
        <v>500</v>
      </c>
    </row>
    <row r="25" spans="2:8" x14ac:dyDescent="0.2">
      <c r="C25" s="1"/>
      <c r="D25" s="42">
        <f>SUM(D23:D24)</f>
        <v>27500</v>
      </c>
      <c r="E25" s="42">
        <f>SUM(E23:E24)</f>
        <v>22000</v>
      </c>
      <c r="F25" s="42">
        <f>SUM(F23:F24)</f>
        <v>0</v>
      </c>
      <c r="G25" s="42">
        <f>SUM(G23:G24)</f>
        <v>4900</v>
      </c>
    </row>
    <row r="26" spans="2:8" x14ac:dyDescent="0.2">
      <c r="C26" s="1" t="s">
        <v>91</v>
      </c>
      <c r="D26" s="43">
        <f>-G26*0.4</f>
        <v>1960</v>
      </c>
      <c r="E26" s="43">
        <f>-G26*0.4</f>
        <v>1960</v>
      </c>
      <c r="F26" s="43">
        <f>-G26*0.2</f>
        <v>980</v>
      </c>
      <c r="G26" s="43">
        <f>-G25</f>
        <v>-4900</v>
      </c>
    </row>
    <row r="27" spans="2:8" x14ac:dyDescent="0.2">
      <c r="D27" s="42">
        <f>SUM(D25:D26)</f>
        <v>29460</v>
      </c>
      <c r="E27" s="42">
        <f>SUM(E25:E26)</f>
        <v>23960</v>
      </c>
      <c r="F27" s="42">
        <f>SUM(F25:F26)</f>
        <v>980</v>
      </c>
      <c r="G27" s="42">
        <f>SUM(G25:G26)</f>
        <v>0</v>
      </c>
    </row>
    <row r="28" spans="2:8" x14ac:dyDescent="0.2">
      <c r="C28" s="1" t="s">
        <v>90</v>
      </c>
      <c r="D28" s="43">
        <f>-F28*0.5</f>
        <v>490</v>
      </c>
      <c r="E28" s="43">
        <f>-F28*0.4</f>
        <v>392</v>
      </c>
      <c r="F28" s="43">
        <f>-F27</f>
        <v>-980</v>
      </c>
      <c r="G28" s="43">
        <f>-F28*0.1</f>
        <v>98</v>
      </c>
    </row>
    <row r="29" spans="2:8" x14ac:dyDescent="0.2">
      <c r="D29" s="42">
        <f>SUM(D27:D28)</f>
        <v>29950</v>
      </c>
      <c r="E29" s="42">
        <f>SUM(E27:E28)</f>
        <v>24352</v>
      </c>
      <c r="F29" s="42">
        <f>SUM(F27:F28)</f>
        <v>0</v>
      </c>
      <c r="G29" s="42">
        <f>SUM(G27:G28)</f>
        <v>98</v>
      </c>
    </row>
    <row r="30" spans="2:8" x14ac:dyDescent="0.2">
      <c r="C30" s="1" t="s">
        <v>91</v>
      </c>
      <c r="D30" s="43">
        <f>-G30*0.4</f>
        <v>39.200000000000003</v>
      </c>
      <c r="E30" s="43">
        <f>-G30*0.4</f>
        <v>39.200000000000003</v>
      </c>
      <c r="F30" s="43">
        <f>-G30*0.2</f>
        <v>19.600000000000001</v>
      </c>
      <c r="G30" s="43">
        <f>-G29</f>
        <v>-98</v>
      </c>
    </row>
    <row r="31" spans="2:8" x14ac:dyDescent="0.2">
      <c r="D31" s="42">
        <f>SUM(D29:D30)</f>
        <v>29989.200000000001</v>
      </c>
      <c r="E31" s="42">
        <f>SUM(E29:E30)</f>
        <v>24391.200000000001</v>
      </c>
      <c r="F31" s="42">
        <f>SUM(F29:F30)</f>
        <v>19.600000000000001</v>
      </c>
      <c r="G31" s="42">
        <f>SUM(G29:G30)</f>
        <v>0</v>
      </c>
    </row>
    <row r="32" spans="2:8" x14ac:dyDescent="0.2">
      <c r="C32" s="1" t="s">
        <v>90</v>
      </c>
      <c r="D32" s="43">
        <f>-F32*0.5</f>
        <v>9.8000000000000007</v>
      </c>
      <c r="E32" s="43">
        <f>-F32*0.4</f>
        <v>7.8400000000000007</v>
      </c>
      <c r="F32" s="43">
        <f>-F31</f>
        <v>-19.600000000000001</v>
      </c>
      <c r="G32" s="43">
        <f>-F32*0.1</f>
        <v>1.9600000000000002</v>
      </c>
    </row>
    <row r="33" spans="3:7" x14ac:dyDescent="0.2">
      <c r="C33" s="1"/>
      <c r="D33" s="42">
        <f>SUM(D31:D32)</f>
        <v>29999</v>
      </c>
      <c r="E33" s="42">
        <f>SUM(E31:E32)</f>
        <v>24399.040000000001</v>
      </c>
      <c r="F33" s="42">
        <f>SUM(F31:F32)</f>
        <v>0</v>
      </c>
      <c r="G33" s="42">
        <f>SUM(G31:G32)</f>
        <v>1.9600000000000002</v>
      </c>
    </row>
    <row r="34" spans="3:7" x14ac:dyDescent="0.2">
      <c r="C34" s="1" t="s">
        <v>91</v>
      </c>
      <c r="D34" s="43">
        <f>-G34*0.4</f>
        <v>0.78400000000000014</v>
      </c>
      <c r="E34" s="43">
        <f>-G34*0.4</f>
        <v>0.78400000000000014</v>
      </c>
      <c r="F34" s="43">
        <f>-G34*0.2</f>
        <v>0.39200000000000007</v>
      </c>
      <c r="G34" s="43">
        <f>-G33</f>
        <v>-1.9600000000000002</v>
      </c>
    </row>
    <row r="35" spans="3:7" ht="13.5" thickBot="1" x14ac:dyDescent="0.25">
      <c r="D35" s="48">
        <f>SUM(D33:D34)</f>
        <v>29999.784</v>
      </c>
      <c r="E35" s="48">
        <f>SUM(E33:E34)</f>
        <v>24399.824000000001</v>
      </c>
      <c r="F35" s="48">
        <f>SUM(F33:F34)</f>
        <v>0.39200000000000007</v>
      </c>
      <c r="G35" s="48">
        <f>SUM(G33:G34)</f>
        <v>0</v>
      </c>
    </row>
    <row r="36" spans="3:7" ht="13.5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Exhibit 1</vt:lpstr>
      <vt:lpstr>Exhibit 2</vt:lpstr>
      <vt:lpstr>Exhibit 3</vt:lpstr>
      <vt:lpstr>Allocation</vt:lpstr>
      <vt:lpstr>Reciprocal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Allston, Malika</dc:creator>
  <cp:lastModifiedBy>Bijesh Singha</cp:lastModifiedBy>
  <cp:lastPrinted>2011-02-25T13:09:17Z</cp:lastPrinted>
  <dcterms:created xsi:type="dcterms:W3CDTF">2010-12-15T10:15:37Z</dcterms:created>
  <dcterms:modified xsi:type="dcterms:W3CDTF">2025-07-23T06:51:19Z</dcterms:modified>
</cp:coreProperties>
</file>