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760EFDEB-991C-48E8-9BC4-E86607053D7A}" xr6:coauthVersionLast="47" xr6:coauthVersionMax="47" xr10:uidLastSave="{00000000-0000-0000-0000-000000000000}"/>
  <bookViews>
    <workbookView xWindow="-120" yWindow="-120" windowWidth="29040" windowHeight="15720" activeTab="1" xr2:uid="{2AE4BD1A-BBFC-49ED-B804-25DEBD1FFB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2" l="1"/>
  <c r="H49" i="2"/>
  <c r="F39" i="2"/>
  <c r="C44" i="2"/>
  <c r="C46" i="2" s="1"/>
  <c r="D28" i="2"/>
  <c r="D29" i="2"/>
  <c r="D30" i="2"/>
  <c r="D27" i="2"/>
  <c r="H44" i="2"/>
  <c r="D42" i="2"/>
  <c r="H41" i="2"/>
  <c r="H40" i="2"/>
  <c r="D40" i="2"/>
  <c r="H39" i="2"/>
  <c r="H38" i="2"/>
  <c r="F38" i="2"/>
  <c r="H37" i="2"/>
  <c r="H36" i="2"/>
  <c r="H35" i="2"/>
  <c r="H34" i="2"/>
  <c r="C30" i="2"/>
  <c r="E23" i="2"/>
  <c r="D20" i="2"/>
  <c r="D19" i="2"/>
  <c r="E20" i="2" s="1"/>
  <c r="E18" i="2"/>
  <c r="E11" i="2"/>
  <c r="E7" i="2"/>
  <c r="H37" i="1"/>
  <c r="I44" i="1"/>
  <c r="I37" i="1"/>
  <c r="G37" i="1"/>
  <c r="J44" i="1"/>
  <c r="C60" i="1"/>
  <c r="M66" i="1"/>
  <c r="F51" i="1"/>
  <c r="D128" i="1"/>
  <c r="H128" i="1" s="1"/>
  <c r="I130" i="1" s="1"/>
  <c r="H135" i="1" s="1"/>
  <c r="D126" i="1"/>
  <c r="H126" i="1" s="1"/>
  <c r="H130" i="1"/>
  <c r="C130" i="1"/>
  <c r="C132" i="1" s="1"/>
  <c r="H121" i="1"/>
  <c r="H122" i="1"/>
  <c r="H123" i="1"/>
  <c r="H124" i="1"/>
  <c r="H125" i="1"/>
  <c r="H127" i="1"/>
  <c r="H120" i="1"/>
  <c r="F125" i="1"/>
  <c r="F128" i="1" s="1"/>
  <c r="F124" i="1"/>
  <c r="D114" i="1"/>
  <c r="D115" i="1"/>
  <c r="D116" i="1"/>
  <c r="D113" i="1"/>
  <c r="C116" i="1"/>
  <c r="G90" i="1"/>
  <c r="G91" i="1"/>
  <c r="C101" i="1"/>
  <c r="E89" i="1"/>
  <c r="G89" i="1" s="1"/>
  <c r="D91" i="1"/>
  <c r="D90" i="1"/>
  <c r="D89" i="1"/>
  <c r="C96" i="1"/>
  <c r="D96" i="1" s="1"/>
  <c r="C74" i="1"/>
  <c r="C75" i="1" s="1"/>
  <c r="C77" i="1" s="1"/>
  <c r="C78" i="1" s="1"/>
  <c r="F70" i="1" s="1"/>
  <c r="C73" i="1"/>
  <c r="C76" i="1"/>
  <c r="C63" i="1"/>
  <c r="D63" i="1" s="1"/>
  <c r="C64" i="1"/>
  <c r="D64" i="1" s="1"/>
  <c r="C65" i="1"/>
  <c r="E51" i="1"/>
  <c r="C51" i="1"/>
  <c r="G50" i="1"/>
  <c r="C43" i="1"/>
  <c r="C40" i="1"/>
  <c r="D40" i="1" s="1"/>
  <c r="E40" i="1" s="1"/>
  <c r="D26" i="1"/>
  <c r="C23" i="1"/>
  <c r="C92" i="1" s="1"/>
  <c r="C22" i="1"/>
  <c r="D23" i="1" s="1"/>
  <c r="C52" i="1" s="1"/>
  <c r="C53" i="1" s="1"/>
  <c r="D21" i="1"/>
  <c r="D14" i="1"/>
  <c r="D10" i="1"/>
  <c r="F42" i="2" l="1"/>
  <c r="H42" i="2" s="1"/>
  <c r="E13" i="2"/>
  <c r="E21" i="2"/>
  <c r="D92" i="1"/>
  <c r="E92" i="1" s="1"/>
  <c r="E93" i="1" s="1"/>
  <c r="E94" i="1" s="1"/>
  <c r="E97" i="1" s="1"/>
  <c r="C103" i="1" s="1"/>
  <c r="D103" i="1" s="1"/>
  <c r="G92" i="1"/>
  <c r="C93" i="1"/>
  <c r="C94" i="1" s="1"/>
  <c r="G93" i="1"/>
  <c r="D93" i="1"/>
  <c r="D94" i="1" s="1"/>
  <c r="F52" i="1"/>
  <c r="F56" i="1" s="1"/>
  <c r="G51" i="1"/>
  <c r="C95" i="1"/>
  <c r="D65" i="1"/>
  <c r="C37" i="1"/>
  <c r="D37" i="1" s="1"/>
  <c r="E52" i="1"/>
  <c r="E53" i="1" s="1"/>
  <c r="C38" i="1"/>
  <c r="D38" i="1" s="1"/>
  <c r="E38" i="1" s="1"/>
  <c r="F53" i="1"/>
  <c r="J53" i="1" s="1"/>
  <c r="D16" i="1"/>
  <c r="C57" i="1"/>
  <c r="C55" i="1"/>
  <c r="G55" i="1" s="1"/>
  <c r="D43" i="1"/>
  <c r="E37" i="1"/>
  <c r="D24" i="1"/>
  <c r="G52" i="1" l="1"/>
  <c r="C97" i="1"/>
  <c r="C106" i="1" s="1"/>
  <c r="D106" i="1" s="1"/>
  <c r="D104" i="1" s="1"/>
  <c r="D95" i="1"/>
  <c r="G95" i="1"/>
  <c r="G97" i="1" s="1"/>
  <c r="D97" i="1"/>
  <c r="C102" i="1" s="1"/>
  <c r="D39" i="1"/>
  <c r="D42" i="1" s="1"/>
  <c r="D44" i="1" s="1"/>
  <c r="C39" i="1"/>
  <c r="E39" i="1" s="1"/>
  <c r="D30" i="1"/>
  <c r="D32" i="1" s="1"/>
  <c r="D33" i="1" s="1"/>
  <c r="C42" i="1"/>
  <c r="J50" i="1"/>
  <c r="J51" i="1" s="1"/>
  <c r="E43" i="1"/>
  <c r="J58" i="1"/>
  <c r="D31" i="1"/>
  <c r="G53" i="1"/>
  <c r="G57" i="1" s="1"/>
  <c r="G58" i="1" s="1"/>
  <c r="I42" i="1" l="1"/>
  <c r="D102" i="1"/>
  <c r="C104" i="1"/>
  <c r="D101" i="1"/>
  <c r="E42" i="1"/>
  <c r="C44" i="1"/>
  <c r="E44" i="1" s="1"/>
</calcChain>
</file>

<file path=xl/sharedStrings.xml><?xml version="1.0" encoding="utf-8"?>
<sst xmlns="http://schemas.openxmlformats.org/spreadsheetml/2006/main" count="219" uniqueCount="144">
  <si>
    <t>Costs per Unit for Hydraulic Hoists (Hospital Supply, Inc.)</t>
  </si>
  <si>
    <t>Unit Manufacturing Costs</t>
  </si>
  <si>
    <t>Variable Material</t>
  </si>
  <si>
    <t>Variable Labor</t>
  </si>
  <si>
    <t>Variable OH</t>
  </si>
  <si>
    <t>Fixed OH</t>
  </si>
  <si>
    <t>Total Unit Mfg Cost</t>
  </si>
  <si>
    <t>Unit Marketing Costs</t>
  </si>
  <si>
    <t>Variable</t>
  </si>
  <si>
    <t>Fixed</t>
  </si>
  <si>
    <t>Total Unit Mkt Cost</t>
  </si>
  <si>
    <t>TOTAL UNIT COST</t>
  </si>
  <si>
    <t>Normal Volume (units per month)</t>
  </si>
  <si>
    <t>Regular Selling Price</t>
  </si>
  <si>
    <t>Restating the Data for Analysis</t>
  </si>
  <si>
    <t>Selling Price</t>
  </si>
  <si>
    <t>Variable Costs (Mfg)</t>
  </si>
  <si>
    <t>Variable Costs (Mkt)</t>
  </si>
  <si>
    <t>Contribution per unit</t>
  </si>
  <si>
    <t>TOTAL Fixed Cost</t>
  </si>
  <si>
    <t>Questions for Analysis:</t>
  </si>
  <si>
    <t>What is the Break even point?</t>
  </si>
  <si>
    <t>Market Research suggests that a price cut by $ 500 will result in increased demand of 500 units</t>
  </si>
  <si>
    <t>Would you recommend this course of action?</t>
  </si>
  <si>
    <t>A contract has been received from the Federal govt to supply 500 units to a Govt. hospital.</t>
  </si>
  <si>
    <t>Even without this order, Hospital Supply Inc is expected to operate at Full capacity of 4000 units</t>
  </si>
  <si>
    <t>Accepting this order would mean, diverting sales from its regular customer pool.</t>
  </si>
  <si>
    <t>Contract specifications: Govt is willing to reimburse the share of production cost with a fee of 2.75 Lakhs</t>
  </si>
  <si>
    <t>Note that there is no variable marketing costs required to be incurred for the govt order.</t>
  </si>
  <si>
    <t>Would you recommend accepting this order?</t>
  </si>
  <si>
    <t>Hospital supply case</t>
  </si>
  <si>
    <t>Questions from case:</t>
  </si>
  <si>
    <t>CM Ratio</t>
  </si>
  <si>
    <t>(contribution/sales)</t>
  </si>
  <si>
    <t>BEP(units)</t>
  </si>
  <si>
    <t>(TFC/contribution pu)</t>
  </si>
  <si>
    <t>only valid in case of single product company</t>
  </si>
  <si>
    <t>BEP(dollars)</t>
  </si>
  <si>
    <t>for multiple product company we see overall BEP in dollars</t>
  </si>
  <si>
    <t>Margin of Safety (M/S)</t>
  </si>
  <si>
    <t>(total sales-BEP(dollars))</t>
  </si>
  <si>
    <t>(TFC/CMR)</t>
  </si>
  <si>
    <t>Current</t>
  </si>
  <si>
    <t>Proposed</t>
  </si>
  <si>
    <t>Diff</t>
  </si>
  <si>
    <t>Selling Price pu</t>
  </si>
  <si>
    <t>VC  pu</t>
  </si>
  <si>
    <t>Contribution pu</t>
  </si>
  <si>
    <t>Volume</t>
  </si>
  <si>
    <t>Total Contribution</t>
  </si>
  <si>
    <t>Total FC</t>
  </si>
  <si>
    <t>Operating Profit</t>
  </si>
  <si>
    <t>What is the revised BEP?</t>
  </si>
  <si>
    <t>BEP (units)</t>
  </si>
  <si>
    <t>BEP (dollar value)</t>
  </si>
  <si>
    <t>Evaluating the Fed Govt Offer</t>
  </si>
  <si>
    <t>No Gov offer</t>
  </si>
  <si>
    <t>Accept Govt Offer</t>
  </si>
  <si>
    <t>Differential Analysis</t>
  </si>
  <si>
    <t>Regular</t>
  </si>
  <si>
    <t>Govt Offer</t>
  </si>
  <si>
    <t>Total</t>
  </si>
  <si>
    <t>Units</t>
  </si>
  <si>
    <t>Reg Cont pu</t>
  </si>
  <si>
    <t>Revenue</t>
  </si>
  <si>
    <t>Tot Cont</t>
  </si>
  <si>
    <t>Variable Costs</t>
  </si>
  <si>
    <t>Contribution</t>
  </si>
  <si>
    <t>Cont Govt offer</t>
  </si>
  <si>
    <t>TFC</t>
  </si>
  <si>
    <t>Profit</t>
  </si>
  <si>
    <t>Difference</t>
  </si>
  <si>
    <t>3000 units</t>
  </si>
  <si>
    <t>pu</t>
  </si>
  <si>
    <t>govt share</t>
  </si>
  <si>
    <t>reimbursed</t>
  </si>
  <si>
    <t>Manufacturing FC</t>
  </si>
  <si>
    <t>Mkt FC</t>
  </si>
  <si>
    <t>Margina cost of the new 1000 units</t>
  </si>
  <si>
    <t>Fixed cost mkt</t>
  </si>
  <si>
    <t>MR</t>
  </si>
  <si>
    <t>Shipping cost</t>
  </si>
  <si>
    <t>Per unit VC</t>
  </si>
  <si>
    <t>pu marginal cost</t>
  </si>
  <si>
    <t>Total VC</t>
  </si>
  <si>
    <t>Total MC</t>
  </si>
  <si>
    <t xml:space="preserve">min price to sell </t>
  </si>
  <si>
    <t>Obsolete model inventory</t>
  </si>
  <si>
    <t>Marginal cost</t>
  </si>
  <si>
    <t>maybe marketing cost of 275</t>
  </si>
  <si>
    <t>else 0</t>
  </si>
  <si>
    <t>therefor minimum price acceptable would be between 0-275</t>
  </si>
  <si>
    <t>as all other cost are already incurred and considered as sunk cost</t>
  </si>
  <si>
    <t>units</t>
  </si>
  <si>
    <t>per unit VC</t>
  </si>
  <si>
    <t>FC Mfg</t>
  </si>
  <si>
    <t>FC Mkt</t>
  </si>
  <si>
    <t>2000 in house</t>
  </si>
  <si>
    <t>1000 outsourced</t>
  </si>
  <si>
    <t>Total Cost</t>
  </si>
  <si>
    <t>Contract price</t>
  </si>
  <si>
    <t>Selling price</t>
  </si>
  <si>
    <t>If I have produced all 3000 units in house I would inccure = 10500000</t>
  </si>
  <si>
    <t>outsourced 1000 units at 2475 pu</t>
  </si>
  <si>
    <t>1000 outsourced but mkt expense</t>
  </si>
  <si>
    <t xml:space="preserve">If I mfg all 3000 units </t>
  </si>
  <si>
    <t>outsourcing cost me more therefore I would not accept the contract offer</t>
  </si>
  <si>
    <t xml:space="preserve">Savings per unit </t>
  </si>
  <si>
    <t>I will save 2444 pu if I outsourced 1000 units</t>
  </si>
  <si>
    <t>which is more than my savings therefore I would not accept the offer</t>
  </si>
  <si>
    <t>the contract offer is 2475 pu</t>
  </si>
  <si>
    <t>*If I would have manufactured and sell those 1000 units in house I would have done it in 2444</t>
  </si>
  <si>
    <t>Hydraulic hoist</t>
  </si>
  <si>
    <t>Variable cost (Mfg)</t>
  </si>
  <si>
    <t>Variable cost (Mkt)</t>
  </si>
  <si>
    <t>total</t>
  </si>
  <si>
    <t xml:space="preserve">800 modified </t>
  </si>
  <si>
    <t>X</t>
  </si>
  <si>
    <t>5500000-X</t>
  </si>
  <si>
    <t>X = 5500000 - 2550000</t>
  </si>
  <si>
    <t>therefore maximum pu price for 1000 unit contract = 2950</t>
  </si>
  <si>
    <t>and the contract offer is 2475 which is lower than the maximum willingness to pay should be accepted</t>
  </si>
  <si>
    <t>`+X</t>
  </si>
  <si>
    <t>therefore should be rejected</t>
  </si>
  <si>
    <t xml:space="preserve">Govt revenue </t>
  </si>
  <si>
    <t>Manufacturing cost reimburshment + 2,75,000</t>
  </si>
  <si>
    <t>Diff method of arriving at profit and concept of over absorption</t>
  </si>
  <si>
    <t>normal volume</t>
  </si>
  <si>
    <t>normal profit or standard profit or budgeted profit</t>
  </si>
  <si>
    <t>Actual vol</t>
  </si>
  <si>
    <t>(4350-3500)*1000</t>
  </si>
  <si>
    <t>1430 * 1000</t>
  </si>
  <si>
    <t>profit for additional units sold</t>
  </si>
  <si>
    <t>over absorption or fixed cost saved -&gt; 1000*(1430)</t>
  </si>
  <si>
    <t>Revised profit</t>
  </si>
  <si>
    <t>CMR</t>
  </si>
  <si>
    <t>sales</t>
  </si>
  <si>
    <t>contribution</t>
  </si>
  <si>
    <t>5500000-X = 2550000</t>
  </si>
  <si>
    <t xml:space="preserve">Contract offer </t>
  </si>
  <si>
    <t>Therefore we are accepting the offer</t>
  </si>
  <si>
    <t>17010000 - 11510000-X</t>
  </si>
  <si>
    <t>Maximum purchase price per unit for 1000 units contract</t>
  </si>
  <si>
    <t>The Maximum Purchase Price that the Hospital Supply should be willing to pay to the outside contractor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</si>
</sst>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1" xfId="0" applyBorder="1"/>
    <xf numFmtId="3" fontId="0" fillId="0" borderId="0" xfId="0" applyNumberFormat="1"/>
    <xf numFmtId="0" fontId="0" fillId="0" borderId="0" xfId="0" applyAlignment="1">
      <alignment horizontal="center"/>
    </xf>
    <xf numFmtId="10" fontId="0" fillId="2" borderId="0" xfId="2" applyNumberFormat="1" applyFont="1" applyFill="1"/>
    <xf numFmtId="43" fontId="0" fillId="0" borderId="0" xfId="1" applyFont="1"/>
    <xf numFmtId="43" fontId="0" fillId="0" borderId="1" xfId="1" applyFont="1" applyBorder="1"/>
    <xf numFmtId="43" fontId="2" fillId="0" borderId="0" xfId="1" applyFont="1"/>
    <xf numFmtId="3" fontId="0" fillId="2" borderId="0" xfId="0" applyNumberFormat="1" applyFill="1"/>
    <xf numFmtId="3" fontId="0" fillId="0" borderId="1" xfId="0" applyNumberFormat="1" applyBorder="1"/>
    <xf numFmtId="3" fontId="0" fillId="2" borderId="1" xfId="0" applyNumberFormat="1" applyFill="1" applyBorder="1"/>
    <xf numFmtId="43" fontId="0" fillId="0" borderId="0" xfId="0" applyNumberFormat="1"/>
    <xf numFmtId="43" fontId="0" fillId="0" borderId="1" xfId="0" applyNumberFormat="1" applyBorder="1"/>
    <xf numFmtId="43" fontId="0" fillId="2" borderId="0" xfId="0" applyNumberFormat="1" applyFill="1"/>
    <xf numFmtId="43" fontId="0" fillId="2" borderId="1" xfId="0" applyNumberFormat="1" applyFill="1" applyBorder="1"/>
    <xf numFmtId="43" fontId="2" fillId="2" borderId="0" xfId="0" applyNumberFormat="1" applyFont="1" applyFill="1"/>
    <xf numFmtId="3" fontId="0" fillId="2" borderId="2" xfId="0" applyNumberFormat="1" applyFill="1" applyBorder="1"/>
    <xf numFmtId="3" fontId="0" fillId="0" borderId="2" xfId="0" applyNumberFormat="1" applyBorder="1"/>
    <xf numFmtId="43" fontId="0" fillId="0" borderId="0" xfId="1" applyFont="1" applyBorder="1"/>
    <xf numFmtId="43" fontId="2" fillId="0" borderId="0" xfId="1" applyFont="1" applyBorder="1"/>
    <xf numFmtId="43" fontId="0" fillId="0" borderId="2" xfId="1" applyFont="1" applyBorder="1"/>
    <xf numFmtId="43" fontId="1" fillId="0" borderId="0" xfId="1" applyFont="1" applyBorder="1"/>
    <xf numFmtId="43" fontId="1" fillId="0" borderId="2" xfId="1" applyFont="1" applyBorder="1"/>
    <xf numFmtId="43" fontId="0" fillId="0" borderId="2" xfId="0" applyNumberFormat="1" applyBorder="1"/>
    <xf numFmtId="43" fontId="0" fillId="0" borderId="3" xfId="0" applyNumberFormat="1" applyBorder="1"/>
    <xf numFmtId="4" fontId="0" fillId="2" borderId="0" xfId="0" applyNumberFormat="1" applyFill="1"/>
    <xf numFmtId="0" fontId="0" fillId="0" borderId="4" xfId="0" applyBorder="1"/>
    <xf numFmtId="43" fontId="0" fillId="3" borderId="4" xfId="0" applyNumberFormat="1" applyFill="1" applyBorder="1"/>
    <xf numFmtId="43" fontId="0" fillId="3" borderId="4" xfId="1" applyFont="1" applyFill="1" applyBorder="1"/>
    <xf numFmtId="0" fontId="0" fillId="3" borderId="4" xfId="0" applyFill="1" applyBorder="1"/>
    <xf numFmtId="43" fontId="0" fillId="0" borderId="4" xfId="1" applyFont="1" applyBorder="1"/>
    <xf numFmtId="43" fontId="0" fillId="0" borderId="4" xfId="0" applyNumberFormat="1" applyBorder="1"/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419101</xdr:colOff>
      <xdr:row>17</xdr:row>
      <xdr:rowOff>28575</xdr:rowOff>
    </xdr:from>
    <xdr:to>
      <xdr:col>21</xdr:col>
      <xdr:colOff>228600</xdr:colOff>
      <xdr:row>19</xdr:row>
      <xdr:rowOff>105752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2D1F9-C103-280E-953C-B852EACC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651" y="3267075"/>
          <a:ext cx="3467099" cy="458177"/>
        </a:xfrm>
        <a:prstGeom prst="rect">
          <a:avLst/>
        </a:prstGeom>
      </xdr:spPr>
    </xdr:pic>
    <xdr:clientData/>
  </xdr:twoCellAnchor>
  <xdr:twoCellAnchor editAs="oneCell">
    <xdr:from>
      <xdr:col>15</xdr:col>
      <xdr:colOff>409574</xdr:colOff>
      <xdr:row>19</xdr:row>
      <xdr:rowOff>152399</xdr:rowOff>
    </xdr:from>
    <xdr:to>
      <xdr:col>21</xdr:col>
      <xdr:colOff>219075</xdr:colOff>
      <xdr:row>27</xdr:row>
      <xdr:rowOff>173974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4A0BFB-EA5D-FF75-C603-CA57ABF6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4" y="3771899"/>
          <a:ext cx="3467101" cy="1545575"/>
        </a:xfrm>
        <a:prstGeom prst="rect">
          <a:avLst/>
        </a:prstGeom>
      </xdr:spPr>
    </xdr:pic>
    <xdr:clientData/>
  </xdr:twoCellAnchor>
  <xdr:twoCellAnchor editAs="oneCell">
    <xdr:from>
      <xdr:col>15</xdr:col>
      <xdr:colOff>400049</xdr:colOff>
      <xdr:row>28</xdr:row>
      <xdr:rowOff>9523</xdr:rowOff>
    </xdr:from>
    <xdr:to>
      <xdr:col>21</xdr:col>
      <xdr:colOff>241955</xdr:colOff>
      <xdr:row>39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690579-6E6D-5ECB-AA58-DF6D1DB70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56" t="2849" r="2156" b="3940"/>
        <a:stretch>
          <a:fillRect/>
        </a:stretch>
      </xdr:blipFill>
      <xdr:spPr>
        <a:xfrm>
          <a:off x="10896599" y="5343523"/>
          <a:ext cx="3499506" cy="2257427"/>
        </a:xfrm>
        <a:prstGeom prst="rect">
          <a:avLst/>
        </a:prstGeom>
      </xdr:spPr>
    </xdr:pic>
    <xdr:clientData/>
  </xdr:twoCellAnchor>
  <xdr:twoCellAnchor editAs="oneCell">
    <xdr:from>
      <xdr:col>15</xdr:col>
      <xdr:colOff>581026</xdr:colOff>
      <xdr:row>39</xdr:row>
      <xdr:rowOff>180975</xdr:rowOff>
    </xdr:from>
    <xdr:to>
      <xdr:col>21</xdr:col>
      <xdr:colOff>219075</xdr:colOff>
      <xdr:row>43</xdr:row>
      <xdr:rowOff>184417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301788-C47D-B9C7-E160-C09AE894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77576" y="7610475"/>
          <a:ext cx="3295649" cy="765442"/>
        </a:xfrm>
        <a:prstGeom prst="rect">
          <a:avLst/>
        </a:prstGeom>
      </xdr:spPr>
    </xdr:pic>
    <xdr:clientData/>
  </xdr:twoCellAnchor>
  <xdr:twoCellAnchor editAs="oneCell">
    <xdr:from>
      <xdr:col>21</xdr:col>
      <xdr:colOff>390525</xdr:colOff>
      <xdr:row>17</xdr:row>
      <xdr:rowOff>19050</xdr:rowOff>
    </xdr:from>
    <xdr:to>
      <xdr:col>27</xdr:col>
      <xdr:colOff>190500</xdr:colOff>
      <xdr:row>30</xdr:row>
      <xdr:rowOff>142646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695CAA-A3A6-60EB-5245-DF5CD94A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44675" y="3257550"/>
          <a:ext cx="3457575" cy="2600096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381001</xdr:colOff>
      <xdr:row>31</xdr:row>
      <xdr:rowOff>1</xdr:rowOff>
    </xdr:from>
    <xdr:to>
      <xdr:col>27</xdr:col>
      <xdr:colOff>190501</xdr:colOff>
      <xdr:row>37</xdr:row>
      <xdr:rowOff>24351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57DF0C-8835-CF5B-1E26-FD706B318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5151" y="5905501"/>
          <a:ext cx="3467100" cy="1167350"/>
        </a:xfrm>
        <a:prstGeom prst="rect">
          <a:avLst/>
        </a:prstGeom>
      </xdr:spPr>
    </xdr:pic>
    <xdr:clientData/>
  </xdr:twoCellAnchor>
  <xdr:twoCellAnchor editAs="oneCell">
    <xdr:from>
      <xdr:col>21</xdr:col>
      <xdr:colOff>390525</xdr:colOff>
      <xdr:row>37</xdr:row>
      <xdr:rowOff>38100</xdr:rowOff>
    </xdr:from>
    <xdr:to>
      <xdr:col>27</xdr:col>
      <xdr:colOff>200025</xdr:colOff>
      <xdr:row>45</xdr:row>
      <xdr:rowOff>34880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CDADDC-D019-D392-3277-5EDCB6F2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4675" y="7086600"/>
          <a:ext cx="3467100" cy="1520780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571501</xdr:colOff>
      <xdr:row>45</xdr:row>
      <xdr:rowOff>47625</xdr:rowOff>
    </xdr:from>
    <xdr:to>
      <xdr:col>27</xdr:col>
      <xdr:colOff>190501</xdr:colOff>
      <xdr:row>52</xdr:row>
      <xdr:rowOff>72374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66FF6D-3C0A-CDD3-37E7-C7D9E410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25651" y="8620125"/>
          <a:ext cx="3276600" cy="1358249"/>
        </a:xfrm>
        <a:prstGeom prst="rect">
          <a:avLst/>
        </a:prstGeom>
      </xdr:spPr>
    </xdr:pic>
    <xdr:clientData/>
  </xdr:twoCellAnchor>
  <xdr:twoCellAnchor editAs="oneCell">
    <xdr:from>
      <xdr:col>15</xdr:col>
      <xdr:colOff>343916</xdr:colOff>
      <xdr:row>44</xdr:row>
      <xdr:rowOff>28576</xdr:rowOff>
    </xdr:from>
    <xdr:to>
      <xdr:col>21</xdr:col>
      <xdr:colOff>211404</xdr:colOff>
      <xdr:row>48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29346E-F1B9-A08B-EC56-CBF02D893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31241" y="8410576"/>
          <a:ext cx="3525088" cy="809624"/>
        </a:xfrm>
        <a:prstGeom prst="rect">
          <a:avLst/>
        </a:prstGeom>
      </xdr:spPr>
    </xdr:pic>
    <xdr:clientData/>
  </xdr:twoCellAnchor>
  <xdr:twoCellAnchor editAs="oneCell">
    <xdr:from>
      <xdr:col>8</xdr:col>
      <xdr:colOff>923925</xdr:colOff>
      <xdr:row>109</xdr:row>
      <xdr:rowOff>57150</xdr:rowOff>
    </xdr:from>
    <xdr:to>
      <xdr:col>13</xdr:col>
      <xdr:colOff>458038</xdr:colOff>
      <xdr:row>113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BDCC32-BA09-4685-9EDD-41E40D90E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0" y="20821650"/>
          <a:ext cx="3525088" cy="809624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113</xdr:row>
      <xdr:rowOff>85725</xdr:rowOff>
    </xdr:from>
    <xdr:to>
      <xdr:col>13</xdr:col>
      <xdr:colOff>514350</xdr:colOff>
      <xdr:row>125</xdr:row>
      <xdr:rowOff>23350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7854AF-35B8-2FBA-CC2C-979EA917B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48800" y="21612225"/>
          <a:ext cx="3467100" cy="222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D60D-A6E8-4EB9-B8A8-9B7D28FA8AF9}">
  <dimension ref="A1:Q137"/>
  <sheetViews>
    <sheetView topLeftCell="A38" workbookViewId="0">
      <selection activeCell="F125" sqref="F125"/>
    </sheetView>
  </sheetViews>
  <sheetFormatPr defaultRowHeight="15" x14ac:dyDescent="0.25"/>
  <cols>
    <col min="1" max="1" width="9" customWidth="1"/>
    <col min="2" max="2" width="29.5703125" customWidth="1"/>
    <col min="3" max="3" width="14.28515625" bestFit="1" customWidth="1"/>
    <col min="4" max="4" width="15.28515625" bestFit="1" customWidth="1"/>
    <col min="5" max="5" width="16.42578125" customWidth="1"/>
    <col min="6" max="6" width="18.42578125" bestFit="1" customWidth="1"/>
    <col min="7" max="7" width="14" customWidth="1"/>
    <col min="8" max="8" width="16" customWidth="1"/>
    <col min="9" max="9" width="14.85546875" customWidth="1"/>
    <col min="10" max="10" width="14.140625" customWidth="1"/>
    <col min="13" max="13" width="12.5703125" bestFit="1" customWidth="1"/>
  </cols>
  <sheetData>
    <row r="1" spans="1:17" x14ac:dyDescent="0.25">
      <c r="A1" s="1" t="s">
        <v>30</v>
      </c>
    </row>
    <row r="4" spans="1:17" x14ac:dyDescent="0.25">
      <c r="A4" s="1" t="s">
        <v>0</v>
      </c>
      <c r="P4" t="s">
        <v>20</v>
      </c>
    </row>
    <row r="5" spans="1:17" x14ac:dyDescent="0.25">
      <c r="A5" t="s">
        <v>1</v>
      </c>
      <c r="P5" s="4">
        <v>1</v>
      </c>
      <c r="Q5" t="s">
        <v>21</v>
      </c>
    </row>
    <row r="6" spans="1:17" x14ac:dyDescent="0.25">
      <c r="B6" t="s">
        <v>2</v>
      </c>
      <c r="C6" s="6">
        <v>550</v>
      </c>
      <c r="D6" s="6"/>
      <c r="P6" s="4">
        <v>2</v>
      </c>
      <c r="Q6" t="s">
        <v>22</v>
      </c>
    </row>
    <row r="7" spans="1:17" x14ac:dyDescent="0.25">
      <c r="B7" t="s">
        <v>3</v>
      </c>
      <c r="C7" s="6">
        <v>825</v>
      </c>
      <c r="D7" s="6"/>
      <c r="Q7" t="s">
        <v>23</v>
      </c>
    </row>
    <row r="8" spans="1:17" x14ac:dyDescent="0.25">
      <c r="B8" t="s">
        <v>4</v>
      </c>
      <c r="C8" s="6">
        <v>420</v>
      </c>
      <c r="D8" s="6"/>
      <c r="P8" s="4">
        <v>3</v>
      </c>
      <c r="Q8" t="s">
        <v>24</v>
      </c>
    </row>
    <row r="9" spans="1:17" x14ac:dyDescent="0.25">
      <c r="B9" t="s">
        <v>5</v>
      </c>
      <c r="C9" s="7">
        <v>660</v>
      </c>
      <c r="D9" s="6"/>
      <c r="Q9" t="s">
        <v>25</v>
      </c>
    </row>
    <row r="10" spans="1:17" x14ac:dyDescent="0.25">
      <c r="B10" s="1" t="s">
        <v>6</v>
      </c>
      <c r="C10" s="6"/>
      <c r="D10" s="8">
        <f>SUM(C6:C9)</f>
        <v>2455</v>
      </c>
      <c r="E10" s="12"/>
      <c r="F10" s="12"/>
      <c r="Q10" t="s">
        <v>26</v>
      </c>
    </row>
    <row r="11" spans="1:17" x14ac:dyDescent="0.25">
      <c r="A11" t="s">
        <v>7</v>
      </c>
      <c r="C11" s="6"/>
      <c r="D11" s="6"/>
      <c r="Q11" t="s">
        <v>27</v>
      </c>
    </row>
    <row r="12" spans="1:17" x14ac:dyDescent="0.25">
      <c r="B12" t="s">
        <v>8</v>
      </c>
      <c r="C12" s="6">
        <v>275</v>
      </c>
      <c r="D12" s="6"/>
      <c r="Q12" t="s">
        <v>28</v>
      </c>
    </row>
    <row r="13" spans="1:17" x14ac:dyDescent="0.25">
      <c r="B13" t="s">
        <v>9</v>
      </c>
      <c r="C13" s="7">
        <v>770</v>
      </c>
      <c r="D13" s="6"/>
      <c r="Q13" t="s">
        <v>29</v>
      </c>
    </row>
    <row r="14" spans="1:17" x14ac:dyDescent="0.25">
      <c r="B14" s="1" t="s">
        <v>10</v>
      </c>
      <c r="C14" s="6"/>
      <c r="D14" s="8">
        <f>SUM(C12:C13)</f>
        <v>1045</v>
      </c>
    </row>
    <row r="15" spans="1:17" x14ac:dyDescent="0.25">
      <c r="C15" s="6"/>
      <c r="D15" s="7"/>
    </row>
    <row r="16" spans="1:17" x14ac:dyDescent="0.25">
      <c r="A16" s="1" t="s">
        <v>11</v>
      </c>
      <c r="C16" s="6"/>
      <c r="D16" s="8">
        <f>SUM(D10:D14)</f>
        <v>3500</v>
      </c>
    </row>
    <row r="17" spans="1:16" x14ac:dyDescent="0.25">
      <c r="A17" t="s">
        <v>12</v>
      </c>
      <c r="C17" s="6"/>
      <c r="D17" s="6">
        <v>3000</v>
      </c>
      <c r="P17" t="s">
        <v>31</v>
      </c>
    </row>
    <row r="18" spans="1:16" x14ac:dyDescent="0.25">
      <c r="A18" t="s">
        <v>13</v>
      </c>
      <c r="C18" s="6"/>
      <c r="D18" s="6">
        <v>4350</v>
      </c>
    </row>
    <row r="19" spans="1:16" x14ac:dyDescent="0.25">
      <c r="C19" s="6"/>
      <c r="D19" s="6"/>
    </row>
    <row r="20" spans="1:16" x14ac:dyDescent="0.25">
      <c r="A20" s="1" t="s">
        <v>14</v>
      </c>
      <c r="C20" s="6"/>
      <c r="D20" s="6"/>
    </row>
    <row r="21" spans="1:16" x14ac:dyDescent="0.25">
      <c r="B21" t="s">
        <v>15</v>
      </c>
      <c r="C21" s="6"/>
      <c r="D21" s="6">
        <f>D18</f>
        <v>4350</v>
      </c>
    </row>
    <row r="22" spans="1:16" x14ac:dyDescent="0.25">
      <c r="B22" t="s">
        <v>16</v>
      </c>
      <c r="C22" s="6">
        <f>SUM(C6:C8)</f>
        <v>1795</v>
      </c>
      <c r="D22" s="6"/>
    </row>
    <row r="23" spans="1:16" x14ac:dyDescent="0.25">
      <c r="B23" t="s">
        <v>17</v>
      </c>
      <c r="C23" s="6">
        <f>C12</f>
        <v>275</v>
      </c>
      <c r="D23" s="7">
        <f>SUM(C22:C23)</f>
        <v>2070</v>
      </c>
    </row>
    <row r="24" spans="1:16" x14ac:dyDescent="0.25">
      <c r="B24" t="s">
        <v>18</v>
      </c>
      <c r="C24" s="6"/>
      <c r="D24" s="6">
        <f>D21-D23</f>
        <v>2280</v>
      </c>
    </row>
    <row r="25" spans="1:16" x14ac:dyDescent="0.25">
      <c r="C25" s="6"/>
      <c r="D25" s="6"/>
    </row>
    <row r="26" spans="1:16" x14ac:dyDescent="0.25">
      <c r="B26" t="s">
        <v>19</v>
      </c>
      <c r="C26" s="6"/>
      <c r="D26" s="6">
        <f>(C9+C13)*D17</f>
        <v>4290000</v>
      </c>
    </row>
    <row r="30" spans="1:16" x14ac:dyDescent="0.25">
      <c r="A30">
        <v>1</v>
      </c>
      <c r="B30" t="s">
        <v>32</v>
      </c>
      <c r="D30" s="5">
        <f>D24/D21</f>
        <v>0.52413793103448281</v>
      </c>
      <c r="E30" t="s">
        <v>33</v>
      </c>
    </row>
    <row r="31" spans="1:16" x14ac:dyDescent="0.25">
      <c r="B31" s="1" t="s">
        <v>34</v>
      </c>
      <c r="C31" s="1"/>
      <c r="D31" s="16">
        <f>D26/D24</f>
        <v>1881.578947368421</v>
      </c>
      <c r="E31" t="s">
        <v>35</v>
      </c>
      <c r="H31" t="s">
        <v>36</v>
      </c>
    </row>
    <row r="32" spans="1:16" x14ac:dyDescent="0.25">
      <c r="B32" s="1" t="s">
        <v>37</v>
      </c>
      <c r="C32" s="1"/>
      <c r="D32" s="16">
        <f>D26/D30</f>
        <v>8184868.421052631</v>
      </c>
      <c r="E32" t="s">
        <v>41</v>
      </c>
      <c r="H32" t="s">
        <v>38</v>
      </c>
    </row>
    <row r="33" spans="1:10" x14ac:dyDescent="0.25">
      <c r="B33" t="s">
        <v>39</v>
      </c>
      <c r="D33" s="14">
        <f>(D21*D17)-D32</f>
        <v>4865131.578947369</v>
      </c>
      <c r="E33" t="s">
        <v>40</v>
      </c>
    </row>
    <row r="36" spans="1:10" x14ac:dyDescent="0.25">
      <c r="A36">
        <v>2</v>
      </c>
      <c r="C36" t="s">
        <v>42</v>
      </c>
      <c r="D36" t="s">
        <v>43</v>
      </c>
      <c r="E36" t="s">
        <v>44</v>
      </c>
      <c r="G36" t="s">
        <v>136</v>
      </c>
      <c r="H36" t="s">
        <v>137</v>
      </c>
      <c r="I36" t="s">
        <v>135</v>
      </c>
    </row>
    <row r="37" spans="1:10" x14ac:dyDescent="0.25">
      <c r="B37" t="s">
        <v>45</v>
      </c>
      <c r="C37" s="12">
        <f>D21</f>
        <v>4350</v>
      </c>
      <c r="D37" s="14">
        <f>C37-500</f>
        <v>3850</v>
      </c>
      <c r="E37">
        <f>D37-C37</f>
        <v>-500</v>
      </c>
      <c r="G37" s="6">
        <f>D37*D40</f>
        <v>13475000</v>
      </c>
      <c r="H37" s="12">
        <f>D39*D40</f>
        <v>6230000</v>
      </c>
      <c r="I37" s="12">
        <f>H37/G37</f>
        <v>0.46233766233766233</v>
      </c>
    </row>
    <row r="38" spans="1:10" x14ac:dyDescent="0.25">
      <c r="B38" t="s">
        <v>46</v>
      </c>
      <c r="C38" s="13">
        <f>D23</f>
        <v>2070</v>
      </c>
      <c r="D38" s="15">
        <f>C38</f>
        <v>2070</v>
      </c>
      <c r="E38" s="2">
        <f t="shared" ref="E38:E44" si="0">D38-C38</f>
        <v>0</v>
      </c>
    </row>
    <row r="39" spans="1:10" x14ac:dyDescent="0.25">
      <c r="B39" t="s">
        <v>47</v>
      </c>
      <c r="C39" s="12">
        <f>C37-C38</f>
        <v>2280</v>
      </c>
      <c r="D39" s="14">
        <f>D37-D38</f>
        <v>1780</v>
      </c>
      <c r="E39">
        <f t="shared" si="0"/>
        <v>-500</v>
      </c>
    </row>
    <row r="40" spans="1:10" x14ac:dyDescent="0.25">
      <c r="B40" t="s">
        <v>48</v>
      </c>
      <c r="C40" s="12">
        <f>D17</f>
        <v>3000</v>
      </c>
      <c r="D40" s="14">
        <f>C40+500</f>
        <v>3500</v>
      </c>
      <c r="E40">
        <f t="shared" si="0"/>
        <v>500</v>
      </c>
    </row>
    <row r="41" spans="1:10" x14ac:dyDescent="0.25">
      <c r="G41" t="s">
        <v>52</v>
      </c>
    </row>
    <row r="42" spans="1:10" x14ac:dyDescent="0.25">
      <c r="B42" t="s">
        <v>49</v>
      </c>
      <c r="C42" s="3">
        <f>D24*D17</f>
        <v>6840000</v>
      </c>
      <c r="D42" s="9">
        <f>D39*D40</f>
        <v>6230000</v>
      </c>
      <c r="E42">
        <f t="shared" si="0"/>
        <v>-610000</v>
      </c>
      <c r="G42" t="s">
        <v>53</v>
      </c>
      <c r="I42" s="14">
        <f>D43/(D39)</f>
        <v>2410.1123595505619</v>
      </c>
    </row>
    <row r="43" spans="1:10" x14ac:dyDescent="0.25">
      <c r="B43" t="s">
        <v>50</v>
      </c>
      <c r="C43" s="10">
        <f>D26</f>
        <v>4290000</v>
      </c>
      <c r="D43" s="11">
        <f>C43</f>
        <v>4290000</v>
      </c>
      <c r="E43" s="2">
        <f t="shared" si="0"/>
        <v>0</v>
      </c>
      <c r="J43" s="12"/>
    </row>
    <row r="44" spans="1:10" x14ac:dyDescent="0.25">
      <c r="B44" t="s">
        <v>51</v>
      </c>
      <c r="C44" s="3">
        <f>C42-C43</f>
        <v>2550000</v>
      </c>
      <c r="D44" s="9">
        <f>D42-D43</f>
        <v>1940000</v>
      </c>
      <c r="E44">
        <f t="shared" si="0"/>
        <v>-610000</v>
      </c>
      <c r="G44" t="s">
        <v>54</v>
      </c>
      <c r="I44" s="26">
        <f>D43/I37</f>
        <v>9278932.5842696633</v>
      </c>
      <c r="J44" s="6">
        <f>I42*D37</f>
        <v>9278932.5842696633</v>
      </c>
    </row>
    <row r="47" spans="1:10" x14ac:dyDescent="0.25">
      <c r="A47">
        <v>3</v>
      </c>
      <c r="B47" s="1" t="s">
        <v>55</v>
      </c>
    </row>
    <row r="48" spans="1:10" x14ac:dyDescent="0.25">
      <c r="C48" t="s">
        <v>56</v>
      </c>
      <c r="E48" t="s">
        <v>57</v>
      </c>
      <c r="I48" t="s">
        <v>58</v>
      </c>
    </row>
    <row r="49" spans="2:14" x14ac:dyDescent="0.25">
      <c r="E49" t="s">
        <v>59</v>
      </c>
      <c r="F49" t="s">
        <v>60</v>
      </c>
      <c r="G49" t="s">
        <v>61</v>
      </c>
      <c r="J49">
        <v>500</v>
      </c>
    </row>
    <row r="50" spans="2:14" x14ac:dyDescent="0.25">
      <c r="B50" t="s">
        <v>62</v>
      </c>
      <c r="C50" s="3">
        <v>4000</v>
      </c>
      <c r="E50" s="3">
        <v>3500</v>
      </c>
      <c r="F50" s="3">
        <v>500</v>
      </c>
      <c r="G50" s="3">
        <f>SUM(E50:F50)</f>
        <v>4000</v>
      </c>
      <c r="I50" s="3" t="s">
        <v>63</v>
      </c>
      <c r="J50" s="14">
        <f>D24</f>
        <v>2280</v>
      </c>
    </row>
    <row r="51" spans="2:14" x14ac:dyDescent="0.25">
      <c r="B51" t="s">
        <v>64</v>
      </c>
      <c r="C51" s="3">
        <f>$D$18*C50</f>
        <v>17400000</v>
      </c>
      <c r="E51" s="9">
        <f>$D$18*E50</f>
        <v>15225000</v>
      </c>
      <c r="F51" s="9">
        <f>D63+275000+F52</f>
        <v>1420000</v>
      </c>
      <c r="G51" s="3">
        <f t="shared" ref="G51:G53" si="1">SUM(E51:F51)</f>
        <v>16645000</v>
      </c>
      <c r="I51" s="3" t="s">
        <v>65</v>
      </c>
      <c r="J51">
        <f>J49*J50</f>
        <v>1140000</v>
      </c>
    </row>
    <row r="52" spans="2:14" x14ac:dyDescent="0.25">
      <c r="B52" t="s">
        <v>66</v>
      </c>
      <c r="C52" s="3">
        <f>C50*$D$23</f>
        <v>8280000</v>
      </c>
      <c r="D52" s="3"/>
      <c r="E52" s="9">
        <f t="shared" ref="E52" si="2">E50*$D$23</f>
        <v>7245000</v>
      </c>
      <c r="F52" s="9">
        <f>C22*F50</f>
        <v>897500</v>
      </c>
      <c r="G52" s="3">
        <f t="shared" si="1"/>
        <v>8142500</v>
      </c>
      <c r="I52" s="3"/>
    </row>
    <row r="53" spans="2:14" x14ac:dyDescent="0.25">
      <c r="B53" t="s">
        <v>67</v>
      </c>
      <c r="C53" s="18">
        <f>C51-C52</f>
        <v>9120000</v>
      </c>
      <c r="E53" s="17">
        <f>E51-E52</f>
        <v>7980000</v>
      </c>
      <c r="F53" s="17">
        <f>F51-F52</f>
        <v>522500</v>
      </c>
      <c r="G53" s="18">
        <f t="shared" si="1"/>
        <v>8502500</v>
      </c>
      <c r="I53" s="3" t="s">
        <v>68</v>
      </c>
      <c r="J53" s="3">
        <f>F53</f>
        <v>522500</v>
      </c>
    </row>
    <row r="54" spans="2:14" x14ac:dyDescent="0.25">
      <c r="C54" s="3"/>
      <c r="E54" s="3"/>
      <c r="F54" s="3"/>
      <c r="G54" s="3"/>
      <c r="I54" s="3"/>
    </row>
    <row r="55" spans="2:14" x14ac:dyDescent="0.25">
      <c r="B55" t="s">
        <v>69</v>
      </c>
      <c r="C55" s="3">
        <f>D26</f>
        <v>4290000</v>
      </c>
      <c r="E55" s="3"/>
      <c r="F55" s="3"/>
      <c r="G55" s="9">
        <f>C55</f>
        <v>4290000</v>
      </c>
      <c r="I55" s="3"/>
    </row>
    <row r="56" spans="2:14" x14ac:dyDescent="0.25">
      <c r="C56" s="3"/>
      <c r="E56" s="3"/>
      <c r="F56" s="3">
        <f>F51+F52</f>
        <v>2317500</v>
      </c>
      <c r="G56" s="3"/>
      <c r="I56" s="3"/>
    </row>
    <row r="57" spans="2:14" x14ac:dyDescent="0.25">
      <c r="B57" t="s">
        <v>51</v>
      </c>
      <c r="C57" s="3">
        <f>C53-C55</f>
        <v>4830000</v>
      </c>
      <c r="E57" s="3"/>
      <c r="F57" s="3"/>
      <c r="G57" s="3">
        <f>G53-G55</f>
        <v>4212500</v>
      </c>
      <c r="I57" s="3"/>
    </row>
    <row r="58" spans="2:14" x14ac:dyDescent="0.25">
      <c r="E58" s="3"/>
      <c r="F58" s="3"/>
      <c r="G58" s="3">
        <f>G57-C57</f>
        <v>-617500</v>
      </c>
      <c r="I58" s="3" t="s">
        <v>71</v>
      </c>
      <c r="J58" s="3">
        <f>J53-J51</f>
        <v>-617500</v>
      </c>
      <c r="K58" t="s">
        <v>123</v>
      </c>
    </row>
    <row r="59" spans="2:14" x14ac:dyDescent="0.25">
      <c r="B59" t="s">
        <v>124</v>
      </c>
      <c r="C59" t="s">
        <v>125</v>
      </c>
    </row>
    <row r="60" spans="2:14" x14ac:dyDescent="0.25">
      <c r="C60" s="12">
        <f>(C22*500)+D63+275000</f>
        <v>1420000</v>
      </c>
    </row>
    <row r="62" spans="2:14" x14ac:dyDescent="0.25">
      <c r="C62" s="19"/>
      <c r="D62" s="19" t="s">
        <v>74</v>
      </c>
      <c r="G62" t="s">
        <v>126</v>
      </c>
    </row>
    <row r="63" spans="2:14" x14ac:dyDescent="0.25">
      <c r="B63" t="s">
        <v>76</v>
      </c>
      <c r="C63" s="19">
        <f>C9*D17</f>
        <v>1980000</v>
      </c>
      <c r="D63" s="22">
        <f>C63*(500/4000)</f>
        <v>247500</v>
      </c>
      <c r="E63" t="s">
        <v>75</v>
      </c>
      <c r="G63" t="s">
        <v>127</v>
      </c>
      <c r="J63" s="6">
        <v>3000</v>
      </c>
      <c r="K63" t="s">
        <v>129</v>
      </c>
      <c r="M63">
        <v>4000</v>
      </c>
    </row>
    <row r="64" spans="2:14" x14ac:dyDescent="0.25">
      <c r="B64" t="s">
        <v>77</v>
      </c>
      <c r="C64" s="19">
        <f>C13*D17</f>
        <v>2310000</v>
      </c>
      <c r="D64" s="22">
        <f>C64*(500/4000)</f>
        <v>288750</v>
      </c>
      <c r="G64" t="s">
        <v>128</v>
      </c>
      <c r="J64" s="6">
        <v>2550000</v>
      </c>
      <c r="L64" t="s">
        <v>130</v>
      </c>
      <c r="N64" t="s">
        <v>132</v>
      </c>
    </row>
    <row r="65" spans="1:14" x14ac:dyDescent="0.25">
      <c r="C65" s="21">
        <f>C64+C63</f>
        <v>4290000</v>
      </c>
      <c r="D65" s="23">
        <f>D64+D63</f>
        <v>536250</v>
      </c>
      <c r="L65" t="s">
        <v>131</v>
      </c>
      <c r="N65" t="s">
        <v>133</v>
      </c>
    </row>
    <row r="66" spans="1:14" x14ac:dyDescent="0.25">
      <c r="C66" s="19"/>
      <c r="D66" s="22"/>
      <c r="K66" t="s">
        <v>134</v>
      </c>
      <c r="M66" s="12">
        <f>J64+((4350-3500)*1000)+(1430*1000)</f>
        <v>4830000</v>
      </c>
    </row>
    <row r="67" spans="1:14" x14ac:dyDescent="0.25">
      <c r="C67" s="19"/>
      <c r="D67" s="22"/>
    </row>
    <row r="68" spans="1:14" x14ac:dyDescent="0.25">
      <c r="A68">
        <v>4</v>
      </c>
      <c r="B68" t="s">
        <v>78</v>
      </c>
      <c r="C68" s="19"/>
      <c r="D68" s="20"/>
      <c r="F68" s="3"/>
    </row>
    <row r="69" spans="1:14" x14ac:dyDescent="0.25">
      <c r="C69" s="19"/>
      <c r="D69" s="19"/>
    </row>
    <row r="70" spans="1:14" x14ac:dyDescent="0.25">
      <c r="A70" s="1"/>
      <c r="B70" t="s">
        <v>2</v>
      </c>
      <c r="C70" s="6">
        <v>550</v>
      </c>
      <c r="D70" s="20"/>
      <c r="E70" t="s">
        <v>86</v>
      </c>
      <c r="F70" s="12">
        <f>C78</f>
        <v>2227</v>
      </c>
    </row>
    <row r="71" spans="1:14" x14ac:dyDescent="0.25">
      <c r="B71" t="s">
        <v>3</v>
      </c>
      <c r="C71" s="6">
        <v>825</v>
      </c>
    </row>
    <row r="72" spans="1:14" x14ac:dyDescent="0.25">
      <c r="B72" t="s">
        <v>4</v>
      </c>
      <c r="C72" s="6">
        <v>420</v>
      </c>
    </row>
    <row r="73" spans="1:14" x14ac:dyDescent="0.25">
      <c r="B73" t="s">
        <v>81</v>
      </c>
      <c r="C73" s="6">
        <f>410</f>
        <v>410</v>
      </c>
    </row>
    <row r="74" spans="1:14" x14ac:dyDescent="0.25">
      <c r="B74" t="s">
        <v>82</v>
      </c>
      <c r="C74" s="25">
        <f>SUM(C70:C73)</f>
        <v>2205</v>
      </c>
    </row>
    <row r="75" spans="1:14" x14ac:dyDescent="0.25">
      <c r="B75" t="s">
        <v>84</v>
      </c>
      <c r="C75" s="24">
        <f>C74*1000</f>
        <v>2205000</v>
      </c>
    </row>
    <row r="76" spans="1:14" x14ac:dyDescent="0.25">
      <c r="B76" t="s">
        <v>79</v>
      </c>
      <c r="C76" s="6">
        <f>22000</f>
        <v>22000</v>
      </c>
    </row>
    <row r="77" spans="1:14" x14ac:dyDescent="0.25">
      <c r="B77" t="s">
        <v>85</v>
      </c>
      <c r="C77" s="24">
        <f>SUM(C75:C76)</f>
        <v>2227000</v>
      </c>
    </row>
    <row r="78" spans="1:14" x14ac:dyDescent="0.25">
      <c r="B78" t="s">
        <v>83</v>
      </c>
      <c r="C78" s="12">
        <f>C77/1000</f>
        <v>2227</v>
      </c>
      <c r="D78" t="s">
        <v>80</v>
      </c>
    </row>
    <row r="81" spans="1:7" x14ac:dyDescent="0.25">
      <c r="A81">
        <v>5</v>
      </c>
      <c r="B81" t="s">
        <v>87</v>
      </c>
      <c r="C81">
        <v>200</v>
      </c>
      <c r="D81" t="s">
        <v>93</v>
      </c>
    </row>
    <row r="82" spans="1:7" x14ac:dyDescent="0.25">
      <c r="B82" t="s">
        <v>88</v>
      </c>
      <c r="C82" t="s">
        <v>89</v>
      </c>
    </row>
    <row r="83" spans="1:7" x14ac:dyDescent="0.25">
      <c r="C83" t="s">
        <v>90</v>
      </c>
      <c r="D83" t="s">
        <v>92</v>
      </c>
    </row>
    <row r="84" spans="1:7" x14ac:dyDescent="0.25">
      <c r="C84" t="s">
        <v>91</v>
      </c>
    </row>
    <row r="87" spans="1:7" x14ac:dyDescent="0.25">
      <c r="A87">
        <v>6</v>
      </c>
    </row>
    <row r="88" spans="1:7" x14ac:dyDescent="0.25">
      <c r="C88" t="s">
        <v>72</v>
      </c>
      <c r="D88" t="s">
        <v>97</v>
      </c>
      <c r="E88" t="s">
        <v>98</v>
      </c>
      <c r="G88" t="s">
        <v>107</v>
      </c>
    </row>
    <row r="89" spans="1:7" x14ac:dyDescent="0.25">
      <c r="B89" t="s">
        <v>2</v>
      </c>
      <c r="C89" s="6">
        <v>550</v>
      </c>
      <c r="D89" s="12">
        <f>C89</f>
        <v>550</v>
      </c>
      <c r="E89" s="12">
        <f>0</f>
        <v>0</v>
      </c>
      <c r="G89" s="12">
        <f>C89-E89</f>
        <v>550</v>
      </c>
    </row>
    <row r="90" spans="1:7" x14ac:dyDescent="0.25">
      <c r="B90" t="s">
        <v>3</v>
      </c>
      <c r="C90" s="6">
        <v>825</v>
      </c>
      <c r="D90" s="12">
        <f>C90</f>
        <v>825</v>
      </c>
      <c r="E90" s="12">
        <v>0</v>
      </c>
      <c r="G90" s="12">
        <f t="shared" ref="G90:G92" si="3">C90-E90</f>
        <v>825</v>
      </c>
    </row>
    <row r="91" spans="1:7" x14ac:dyDescent="0.25">
      <c r="B91" t="s">
        <v>4</v>
      </c>
      <c r="C91" s="6">
        <v>420</v>
      </c>
      <c r="D91" s="12">
        <f>C91</f>
        <v>420</v>
      </c>
      <c r="E91" s="12">
        <v>0</v>
      </c>
      <c r="G91" s="12">
        <f t="shared" si="3"/>
        <v>420</v>
      </c>
    </row>
    <row r="92" spans="1:7" x14ac:dyDescent="0.25">
      <c r="B92" t="s">
        <v>17</v>
      </c>
      <c r="C92" s="6">
        <f>C23</f>
        <v>275</v>
      </c>
      <c r="D92" s="12">
        <f>C92</f>
        <v>275</v>
      </c>
      <c r="E92" s="12">
        <f>D92*0.8</f>
        <v>220</v>
      </c>
      <c r="G92" s="12">
        <f t="shared" si="3"/>
        <v>55</v>
      </c>
    </row>
    <row r="93" spans="1:7" x14ac:dyDescent="0.25">
      <c r="B93" t="s">
        <v>94</v>
      </c>
      <c r="C93" s="24">
        <f>SUM(C89:C92)</f>
        <v>2070</v>
      </c>
      <c r="D93" s="24">
        <f>SUM(D89:D92)</f>
        <v>2070</v>
      </c>
      <c r="E93" s="12">
        <f>SUM(E89:E92)</f>
        <v>220</v>
      </c>
      <c r="G93" s="12">
        <f>SUM(G89:G92)</f>
        <v>1850</v>
      </c>
    </row>
    <row r="94" spans="1:7" x14ac:dyDescent="0.25">
      <c r="B94" t="s">
        <v>84</v>
      </c>
      <c r="C94" s="12">
        <f>C93*3000</f>
        <v>6210000</v>
      </c>
      <c r="D94" s="12">
        <f>D93*2000</f>
        <v>4140000</v>
      </c>
      <c r="E94" s="12">
        <f>E93*1000</f>
        <v>220000</v>
      </c>
    </row>
    <row r="95" spans="1:7" x14ac:dyDescent="0.25">
      <c r="B95" t="s">
        <v>95</v>
      </c>
      <c r="C95" s="12">
        <f>C63</f>
        <v>1980000</v>
      </c>
      <c r="D95" s="12">
        <f>C95*0.7</f>
        <v>1386000</v>
      </c>
      <c r="E95" s="12"/>
      <c r="G95" s="12">
        <f>(C95-D95)/1000</f>
        <v>594</v>
      </c>
    </row>
    <row r="96" spans="1:7" x14ac:dyDescent="0.25">
      <c r="B96" t="s">
        <v>96</v>
      </c>
      <c r="C96" s="12">
        <f>C64</f>
        <v>2310000</v>
      </c>
      <c r="D96" s="12">
        <f>C96</f>
        <v>2310000</v>
      </c>
      <c r="E96" s="12"/>
    </row>
    <row r="97" spans="1:7" x14ac:dyDescent="0.25">
      <c r="B97" t="s">
        <v>99</v>
      </c>
      <c r="C97" s="12">
        <f>SUM(C94:C96)</f>
        <v>10500000</v>
      </c>
      <c r="D97" s="12">
        <f>SUM(D94:D96)</f>
        <v>7836000</v>
      </c>
      <c r="E97" s="12">
        <f>SUM(E94:E96)</f>
        <v>220000</v>
      </c>
      <c r="F97" s="12"/>
      <c r="G97" s="12">
        <f>SUM(G93:G95)</f>
        <v>2444</v>
      </c>
    </row>
    <row r="98" spans="1:7" x14ac:dyDescent="0.25">
      <c r="C98" s="12"/>
      <c r="F98" s="12"/>
    </row>
    <row r="99" spans="1:7" x14ac:dyDescent="0.25">
      <c r="B99" t="s">
        <v>102</v>
      </c>
      <c r="C99" s="12"/>
    </row>
    <row r="100" spans="1:7" x14ac:dyDescent="0.25">
      <c r="E100" s="12"/>
      <c r="G100" t="s">
        <v>108</v>
      </c>
    </row>
    <row r="101" spans="1:7" x14ac:dyDescent="0.25">
      <c r="B101" t="s">
        <v>103</v>
      </c>
      <c r="C101" s="6">
        <f>2475*1000</f>
        <v>2475000</v>
      </c>
      <c r="D101" s="12">
        <f>D104-SUM(D102:D103)</f>
        <v>2444000</v>
      </c>
      <c r="E101" s="12"/>
      <c r="G101" t="s">
        <v>110</v>
      </c>
    </row>
    <row r="102" spans="1:7" x14ac:dyDescent="0.25">
      <c r="B102" t="s">
        <v>97</v>
      </c>
      <c r="C102" s="12">
        <f>D97</f>
        <v>7836000</v>
      </c>
      <c r="D102" s="12">
        <f>C102</f>
        <v>7836000</v>
      </c>
      <c r="E102" s="12"/>
      <c r="G102" t="s">
        <v>109</v>
      </c>
    </row>
    <row r="103" spans="1:7" x14ac:dyDescent="0.25">
      <c r="B103" t="s">
        <v>104</v>
      </c>
      <c r="C103" s="12">
        <f>E97</f>
        <v>220000</v>
      </c>
      <c r="D103" s="12">
        <f>C103</f>
        <v>220000</v>
      </c>
      <c r="E103" s="12"/>
      <c r="G103" t="s">
        <v>111</v>
      </c>
    </row>
    <row r="104" spans="1:7" x14ac:dyDescent="0.25">
      <c r="B104" t="s">
        <v>99</v>
      </c>
      <c r="C104" s="12">
        <f>SUM(C101:C103)</f>
        <v>10531000</v>
      </c>
      <c r="D104" s="12">
        <f>D106</f>
        <v>10500000</v>
      </c>
    </row>
    <row r="105" spans="1:7" x14ac:dyDescent="0.25">
      <c r="C105" s="12"/>
    </row>
    <row r="106" spans="1:7" x14ac:dyDescent="0.25">
      <c r="B106" t="s">
        <v>105</v>
      </c>
      <c r="C106" s="12">
        <f>C97</f>
        <v>10500000</v>
      </c>
      <c r="D106" s="12">
        <f>C106+C118</f>
        <v>10500000</v>
      </c>
    </row>
    <row r="108" spans="1:7" x14ac:dyDescent="0.25">
      <c r="B108" t="s">
        <v>106</v>
      </c>
    </row>
    <row r="111" spans="1:7" x14ac:dyDescent="0.25">
      <c r="A111">
        <v>7</v>
      </c>
      <c r="B111" t="s">
        <v>112</v>
      </c>
      <c r="C111">
        <v>800</v>
      </c>
      <c r="D111" t="s">
        <v>93</v>
      </c>
    </row>
    <row r="112" spans="1:7" x14ac:dyDescent="0.25">
      <c r="C112" t="s">
        <v>73</v>
      </c>
      <c r="D112" t="s">
        <v>115</v>
      </c>
    </row>
    <row r="113" spans="2:9" x14ac:dyDescent="0.25">
      <c r="B113" t="s">
        <v>101</v>
      </c>
      <c r="C113">
        <v>4950</v>
      </c>
      <c r="D113">
        <f>C113*$C$111</f>
        <v>3960000</v>
      </c>
    </row>
    <row r="114" spans="2:9" x14ac:dyDescent="0.25">
      <c r="B114" t="s">
        <v>113</v>
      </c>
      <c r="C114">
        <v>3025</v>
      </c>
      <c r="D114">
        <f t="shared" ref="D114:D116" si="4">C114*$C$111</f>
        <v>2420000</v>
      </c>
    </row>
    <row r="115" spans="2:9" x14ac:dyDescent="0.25">
      <c r="B115" t="s">
        <v>114</v>
      </c>
      <c r="C115">
        <v>550</v>
      </c>
      <c r="D115">
        <f t="shared" si="4"/>
        <v>440000</v>
      </c>
    </row>
    <row r="116" spans="2:9" x14ac:dyDescent="0.25">
      <c r="B116" t="s">
        <v>67</v>
      </c>
      <c r="C116">
        <f>C113-SUM(C114:C115)</f>
        <v>1375</v>
      </c>
      <c r="D116">
        <f t="shared" si="4"/>
        <v>1100000</v>
      </c>
    </row>
    <row r="118" spans="2:9" x14ac:dyDescent="0.25">
      <c r="C118" s="6"/>
    </row>
    <row r="119" spans="2:9" x14ac:dyDescent="0.25">
      <c r="C119" s="12" t="s">
        <v>72</v>
      </c>
      <c r="D119" t="s">
        <v>97</v>
      </c>
      <c r="E119" t="s">
        <v>98</v>
      </c>
      <c r="F119" t="s">
        <v>116</v>
      </c>
      <c r="G119" t="s">
        <v>100</v>
      </c>
      <c r="H119" t="s">
        <v>61</v>
      </c>
    </row>
    <row r="120" spans="2:9" x14ac:dyDescent="0.25">
      <c r="B120" t="s">
        <v>2</v>
      </c>
      <c r="C120" s="6">
        <v>550</v>
      </c>
      <c r="D120" s="6">
        <v>550</v>
      </c>
      <c r="E120" s="6">
        <v>0</v>
      </c>
      <c r="F120" s="6">
        <v>0</v>
      </c>
      <c r="H120" s="12">
        <f>SUM(D120:G120)</f>
        <v>550</v>
      </c>
    </row>
    <row r="121" spans="2:9" x14ac:dyDescent="0.25">
      <c r="B121" t="s">
        <v>3</v>
      </c>
      <c r="C121" s="6">
        <v>825</v>
      </c>
      <c r="D121" s="6">
        <v>825</v>
      </c>
      <c r="E121" s="6">
        <v>0</v>
      </c>
      <c r="F121" s="6">
        <v>0</v>
      </c>
      <c r="H121" s="12">
        <f t="shared" ref="H121:H128" si="5">SUM(D121:G121)</f>
        <v>825</v>
      </c>
    </row>
    <row r="122" spans="2:9" x14ac:dyDescent="0.25">
      <c r="B122" t="s">
        <v>4</v>
      </c>
      <c r="C122" s="6">
        <v>420</v>
      </c>
      <c r="D122" s="6">
        <v>420</v>
      </c>
      <c r="E122" s="6">
        <v>0</v>
      </c>
      <c r="F122" s="6">
        <v>3025</v>
      </c>
      <c r="H122" s="12">
        <f t="shared" si="5"/>
        <v>3445</v>
      </c>
    </row>
    <row r="123" spans="2:9" x14ac:dyDescent="0.25">
      <c r="B123" t="s">
        <v>17</v>
      </c>
      <c r="C123" s="6">
        <v>275</v>
      </c>
      <c r="D123" s="6">
        <v>275</v>
      </c>
      <c r="E123" s="6">
        <v>220</v>
      </c>
      <c r="F123" s="6">
        <v>550</v>
      </c>
      <c r="H123" s="12">
        <f t="shared" si="5"/>
        <v>1045</v>
      </c>
    </row>
    <row r="124" spans="2:9" x14ac:dyDescent="0.25">
      <c r="B124" t="s">
        <v>94</v>
      </c>
      <c r="C124" s="6">
        <v>2070</v>
      </c>
      <c r="D124" s="6">
        <v>2070</v>
      </c>
      <c r="E124" s="6">
        <v>220</v>
      </c>
      <c r="F124" s="6">
        <f>SUM(F120:F123)</f>
        <v>3575</v>
      </c>
      <c r="H124" s="12">
        <f t="shared" si="5"/>
        <v>5865</v>
      </c>
    </row>
    <row r="125" spans="2:9" x14ac:dyDescent="0.25">
      <c r="B125" t="s">
        <v>84</v>
      </c>
      <c r="C125" s="6">
        <v>6210000</v>
      </c>
      <c r="D125" s="6">
        <v>4140000</v>
      </c>
      <c r="E125" s="6">
        <v>220000</v>
      </c>
      <c r="F125" s="6">
        <f>F124*$C$111</f>
        <v>2860000</v>
      </c>
      <c r="H125" s="12">
        <f t="shared" si="5"/>
        <v>7220000</v>
      </c>
    </row>
    <row r="126" spans="2:9" x14ac:dyDescent="0.25">
      <c r="B126" t="s">
        <v>95</v>
      </c>
      <c r="C126" s="6">
        <v>1980000</v>
      </c>
      <c r="D126" s="6">
        <f>C126</f>
        <v>1980000</v>
      </c>
      <c r="E126" s="6"/>
      <c r="F126" s="6">
        <v>0</v>
      </c>
      <c r="H126" s="12">
        <f t="shared" si="5"/>
        <v>1980000</v>
      </c>
    </row>
    <row r="127" spans="2:9" x14ac:dyDescent="0.25">
      <c r="B127" t="s">
        <v>96</v>
      </c>
      <c r="C127" s="6">
        <v>2310000</v>
      </c>
      <c r="D127" s="6">
        <v>2310000</v>
      </c>
      <c r="E127" s="6"/>
      <c r="F127" s="6">
        <v>0</v>
      </c>
      <c r="H127" s="12">
        <f t="shared" si="5"/>
        <v>2310000</v>
      </c>
    </row>
    <row r="128" spans="2:9" x14ac:dyDescent="0.25">
      <c r="B128" t="s">
        <v>99</v>
      </c>
      <c r="C128" s="6">
        <v>10500000</v>
      </c>
      <c r="D128" s="6">
        <f>SUM(D125:D127)</f>
        <v>8430000</v>
      </c>
      <c r="E128" s="6">
        <v>220000</v>
      </c>
      <c r="F128" s="6">
        <f>F125</f>
        <v>2860000</v>
      </c>
      <c r="G128" t="s">
        <v>117</v>
      </c>
      <c r="H128" s="12">
        <f t="shared" si="5"/>
        <v>11510000</v>
      </c>
      <c r="I128" t="s">
        <v>122</v>
      </c>
    </row>
    <row r="129" spans="2:9" x14ac:dyDescent="0.25">
      <c r="H129" s="12"/>
    </row>
    <row r="130" spans="2:9" x14ac:dyDescent="0.25">
      <c r="B130" t="s">
        <v>64</v>
      </c>
      <c r="C130" s="12">
        <f>3000*$D$21</f>
        <v>13050000</v>
      </c>
      <c r="D130" s="12"/>
      <c r="E130" s="12"/>
      <c r="H130" s="12">
        <f>(3000*4350)+(800*4950)</f>
        <v>17010000</v>
      </c>
      <c r="I130" s="12">
        <f>H130-H128</f>
        <v>5500000</v>
      </c>
    </row>
    <row r="131" spans="2:9" x14ac:dyDescent="0.25">
      <c r="C131" s="12"/>
      <c r="D131" s="12"/>
      <c r="E131" s="12"/>
      <c r="H131" s="12"/>
    </row>
    <row r="132" spans="2:9" x14ac:dyDescent="0.25">
      <c r="B132" t="s">
        <v>70</v>
      </c>
      <c r="C132" s="12">
        <f>C130-C128</f>
        <v>2550000</v>
      </c>
      <c r="D132" s="12"/>
      <c r="E132" s="12"/>
      <c r="H132" s="12" t="s">
        <v>118</v>
      </c>
    </row>
    <row r="134" spans="2:9" x14ac:dyDescent="0.25">
      <c r="H134" t="s">
        <v>119</v>
      </c>
    </row>
    <row r="135" spans="2:9" x14ac:dyDescent="0.25">
      <c r="H135" s="12">
        <f>I130-C132</f>
        <v>2950000</v>
      </c>
    </row>
    <row r="136" spans="2:9" x14ac:dyDescent="0.25">
      <c r="H136" t="s">
        <v>120</v>
      </c>
    </row>
    <row r="137" spans="2:9" x14ac:dyDescent="0.25">
      <c r="H137" t="s">
        <v>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C4D8-2D07-4E46-B285-EDFC2A982438}">
  <dimension ref="A1:I53"/>
  <sheetViews>
    <sheetView tabSelected="1" topLeftCell="A26" workbookViewId="0">
      <selection activeCell="F46" sqref="F46"/>
    </sheetView>
  </sheetViews>
  <sheetFormatPr defaultRowHeight="15" x14ac:dyDescent="0.25"/>
  <cols>
    <col min="2" max="2" width="53.85546875" bestFit="1" customWidth="1"/>
    <col min="3" max="3" width="19.42578125" bestFit="1" customWidth="1"/>
    <col min="4" max="4" width="13.140625" bestFit="1" customWidth="1"/>
    <col min="5" max="6" width="12.5703125" bestFit="1" customWidth="1"/>
    <col min="7" max="7" width="13.42578125" bestFit="1" customWidth="1"/>
    <col min="8" max="8" width="24" customWidth="1"/>
    <col min="9" max="9" width="12.5703125" bestFit="1" customWidth="1"/>
  </cols>
  <sheetData>
    <row r="1" spans="2:5" x14ac:dyDescent="0.25">
      <c r="B1" s="1" t="s">
        <v>0</v>
      </c>
    </row>
    <row r="2" spans="2:5" x14ac:dyDescent="0.25">
      <c r="B2" t="s">
        <v>1</v>
      </c>
    </row>
    <row r="3" spans="2:5" x14ac:dyDescent="0.25">
      <c r="C3" t="s">
        <v>2</v>
      </c>
      <c r="D3" s="6">
        <v>550</v>
      </c>
      <c r="E3" s="6"/>
    </row>
    <row r="4" spans="2:5" x14ac:dyDescent="0.25">
      <c r="C4" t="s">
        <v>3</v>
      </c>
      <c r="D4" s="6">
        <v>825</v>
      </c>
      <c r="E4" s="6"/>
    </row>
    <row r="5" spans="2:5" x14ac:dyDescent="0.25">
      <c r="C5" t="s">
        <v>4</v>
      </c>
      <c r="D5" s="6">
        <v>420</v>
      </c>
      <c r="E5" s="6"/>
    </row>
    <row r="6" spans="2:5" x14ac:dyDescent="0.25">
      <c r="C6" t="s">
        <v>5</v>
      </c>
      <c r="D6" s="7">
        <v>660</v>
      </c>
      <c r="E6" s="6"/>
    </row>
    <row r="7" spans="2:5" x14ac:dyDescent="0.25">
      <c r="C7" s="1" t="s">
        <v>6</v>
      </c>
      <c r="D7" s="6"/>
      <c r="E7" s="8">
        <f>SUM(D3:D6)</f>
        <v>2455</v>
      </c>
    </row>
    <row r="8" spans="2:5" x14ac:dyDescent="0.25">
      <c r="B8" t="s">
        <v>7</v>
      </c>
      <c r="D8" s="6"/>
      <c r="E8" s="6"/>
    </row>
    <row r="9" spans="2:5" x14ac:dyDescent="0.25">
      <c r="C9" t="s">
        <v>8</v>
      </c>
      <c r="D9" s="6">
        <v>275</v>
      </c>
      <c r="E9" s="6"/>
    </row>
    <row r="10" spans="2:5" x14ac:dyDescent="0.25">
      <c r="C10" t="s">
        <v>9</v>
      </c>
      <c r="D10" s="7">
        <v>770</v>
      </c>
      <c r="E10" s="6"/>
    </row>
    <row r="11" spans="2:5" x14ac:dyDescent="0.25">
      <c r="C11" s="1" t="s">
        <v>10</v>
      </c>
      <c r="D11" s="6"/>
      <c r="E11" s="8">
        <f>SUM(D9:D10)</f>
        <v>1045</v>
      </c>
    </row>
    <row r="12" spans="2:5" x14ac:dyDescent="0.25">
      <c r="D12" s="6"/>
      <c r="E12" s="7"/>
    </row>
    <row r="13" spans="2:5" x14ac:dyDescent="0.25">
      <c r="B13" s="1" t="s">
        <v>11</v>
      </c>
      <c r="D13" s="6"/>
      <c r="E13" s="8">
        <f>SUM(E7:E11)</f>
        <v>3500</v>
      </c>
    </row>
    <row r="14" spans="2:5" x14ac:dyDescent="0.25">
      <c r="B14" t="s">
        <v>12</v>
      </c>
      <c r="D14" s="6"/>
      <c r="E14" s="6">
        <v>3000</v>
      </c>
    </row>
    <row r="15" spans="2:5" x14ac:dyDescent="0.25">
      <c r="B15" t="s">
        <v>13</v>
      </c>
      <c r="D15" s="6"/>
      <c r="E15" s="6">
        <v>4350</v>
      </c>
    </row>
    <row r="16" spans="2:5" x14ac:dyDescent="0.25">
      <c r="D16" s="6"/>
      <c r="E16" s="6"/>
    </row>
    <row r="17" spans="1:5" x14ac:dyDescent="0.25">
      <c r="B17" s="1" t="s">
        <v>14</v>
      </c>
      <c r="D17" s="6"/>
      <c r="E17" s="6"/>
    </row>
    <row r="18" spans="1:5" x14ac:dyDescent="0.25">
      <c r="C18" t="s">
        <v>15</v>
      </c>
      <c r="D18" s="6"/>
      <c r="E18" s="6">
        <f>E15</f>
        <v>4350</v>
      </c>
    </row>
    <row r="19" spans="1:5" x14ac:dyDescent="0.25">
      <c r="C19" t="s">
        <v>16</v>
      </c>
      <c r="D19" s="6">
        <f>SUM(D3:D5)</f>
        <v>1795</v>
      </c>
      <c r="E19" s="6"/>
    </row>
    <row r="20" spans="1:5" x14ac:dyDescent="0.25">
      <c r="C20" t="s">
        <v>17</v>
      </c>
      <c r="D20" s="6">
        <f>D9</f>
        <v>275</v>
      </c>
      <c r="E20" s="7">
        <f>SUM(D19:D20)</f>
        <v>2070</v>
      </c>
    </row>
    <row r="21" spans="1:5" x14ac:dyDescent="0.25">
      <c r="C21" t="s">
        <v>18</v>
      </c>
      <c r="D21" s="6"/>
      <c r="E21" s="6">
        <f>E18-E20</f>
        <v>2280</v>
      </c>
    </row>
    <row r="22" spans="1:5" x14ac:dyDescent="0.25">
      <c r="D22" s="6"/>
      <c r="E22" s="6"/>
    </row>
    <row r="23" spans="1:5" x14ac:dyDescent="0.25">
      <c r="C23" t="s">
        <v>19</v>
      </c>
      <c r="D23" s="6"/>
      <c r="E23" s="6">
        <f>(D6+D10)*E14</f>
        <v>4290000</v>
      </c>
    </row>
    <row r="25" spans="1:5" x14ac:dyDescent="0.25">
      <c r="A25">
        <v>7</v>
      </c>
      <c r="B25" t="s">
        <v>112</v>
      </c>
      <c r="C25">
        <v>800</v>
      </c>
      <c r="D25" t="s">
        <v>93</v>
      </c>
    </row>
    <row r="26" spans="1:5" x14ac:dyDescent="0.25">
      <c r="C26" s="27" t="s">
        <v>73</v>
      </c>
      <c r="D26" s="27" t="s">
        <v>115</v>
      </c>
    </row>
    <row r="27" spans="1:5" x14ac:dyDescent="0.25">
      <c r="B27" t="s">
        <v>101</v>
      </c>
      <c r="C27" s="27">
        <v>4950</v>
      </c>
      <c r="D27" s="27">
        <f>C27*$C$25</f>
        <v>3960000</v>
      </c>
    </row>
    <row r="28" spans="1:5" x14ac:dyDescent="0.25">
      <c r="B28" t="s">
        <v>113</v>
      </c>
      <c r="C28" s="27">
        <v>3025</v>
      </c>
      <c r="D28" s="27">
        <f t="shared" ref="D28:D30" si="0">C28*$C$25</f>
        <v>2420000</v>
      </c>
    </row>
    <row r="29" spans="1:5" x14ac:dyDescent="0.25">
      <c r="B29" t="s">
        <v>114</v>
      </c>
      <c r="C29" s="27">
        <v>550</v>
      </c>
      <c r="D29" s="27">
        <f t="shared" si="0"/>
        <v>440000</v>
      </c>
    </row>
    <row r="30" spans="1:5" x14ac:dyDescent="0.25">
      <c r="B30" t="s">
        <v>67</v>
      </c>
      <c r="C30" s="27">
        <f>C27-SUM(C28:C29)</f>
        <v>1375</v>
      </c>
      <c r="D30" s="27">
        <f t="shared" si="0"/>
        <v>1100000</v>
      </c>
    </row>
    <row r="32" spans="1:5" x14ac:dyDescent="0.25">
      <c r="C32" s="6"/>
    </row>
    <row r="33" spans="2:9" x14ac:dyDescent="0.25">
      <c r="C33" s="28" t="s">
        <v>72</v>
      </c>
      <c r="D33" s="27" t="s">
        <v>97</v>
      </c>
      <c r="E33" s="27" t="s">
        <v>98</v>
      </c>
      <c r="F33" s="27" t="s">
        <v>116</v>
      </c>
      <c r="G33" s="27" t="s">
        <v>100</v>
      </c>
      <c r="H33" s="27" t="s">
        <v>61</v>
      </c>
    </row>
    <row r="34" spans="2:9" x14ac:dyDescent="0.25">
      <c r="B34" t="s">
        <v>2</v>
      </c>
      <c r="C34" s="29">
        <v>550</v>
      </c>
      <c r="D34" s="31">
        <v>550</v>
      </c>
      <c r="E34" s="31">
        <v>0</v>
      </c>
      <c r="F34" s="31">
        <v>0</v>
      </c>
      <c r="G34" s="27"/>
      <c r="H34" s="32">
        <f>SUM(D34:G34)</f>
        <v>550</v>
      </c>
    </row>
    <row r="35" spans="2:9" x14ac:dyDescent="0.25">
      <c r="B35" t="s">
        <v>3</v>
      </c>
      <c r="C35" s="29">
        <v>825</v>
      </c>
      <c r="D35" s="31">
        <v>825</v>
      </c>
      <c r="E35" s="31">
        <v>0</v>
      </c>
      <c r="F35" s="31">
        <v>0</v>
      </c>
      <c r="G35" s="27"/>
      <c r="H35" s="32">
        <f t="shared" ref="H35:H42" si="1">SUM(D35:G35)</f>
        <v>825</v>
      </c>
    </row>
    <row r="36" spans="2:9" x14ac:dyDescent="0.25">
      <c r="B36" t="s">
        <v>4</v>
      </c>
      <c r="C36" s="29">
        <v>420</v>
      </c>
      <c r="D36" s="31">
        <v>420</v>
      </c>
      <c r="E36" s="31">
        <v>0</v>
      </c>
      <c r="F36" s="31">
        <v>3025</v>
      </c>
      <c r="G36" s="27"/>
      <c r="H36" s="32">
        <f t="shared" si="1"/>
        <v>3445</v>
      </c>
    </row>
    <row r="37" spans="2:9" x14ac:dyDescent="0.25">
      <c r="B37" t="s">
        <v>17</v>
      </c>
      <c r="C37" s="29">
        <v>275</v>
      </c>
      <c r="D37" s="31">
        <v>275</v>
      </c>
      <c r="E37" s="31">
        <v>220</v>
      </c>
      <c r="F37" s="31">
        <v>550</v>
      </c>
      <c r="G37" s="27"/>
      <c r="H37" s="32">
        <f t="shared" si="1"/>
        <v>1045</v>
      </c>
    </row>
    <row r="38" spans="2:9" x14ac:dyDescent="0.25">
      <c r="B38" t="s">
        <v>94</v>
      </c>
      <c r="C38" s="29">
        <v>2070</v>
      </c>
      <c r="D38" s="31">
        <v>2070</v>
      </c>
      <c r="E38" s="31">
        <v>220</v>
      </c>
      <c r="F38" s="31">
        <f>SUM(F34:F37)</f>
        <v>3575</v>
      </c>
      <c r="G38" s="27"/>
      <c r="H38" s="32">
        <f t="shared" si="1"/>
        <v>5865</v>
      </c>
    </row>
    <row r="39" spans="2:9" x14ac:dyDescent="0.25">
      <c r="B39" t="s">
        <v>84</v>
      </c>
      <c r="C39" s="29">
        <v>6210000</v>
      </c>
      <c r="D39" s="31">
        <v>4140000</v>
      </c>
      <c r="E39" s="31">
        <v>220000</v>
      </c>
      <c r="F39" s="31">
        <f>F38*C25</f>
        <v>2860000</v>
      </c>
      <c r="G39" s="27"/>
      <c r="H39" s="32">
        <f t="shared" si="1"/>
        <v>7220000</v>
      </c>
    </row>
    <row r="40" spans="2:9" x14ac:dyDescent="0.25">
      <c r="B40" t="s">
        <v>95</v>
      </c>
      <c r="C40" s="29">
        <v>1980000</v>
      </c>
      <c r="D40" s="31">
        <f>C40</f>
        <v>1980000</v>
      </c>
      <c r="E40" s="31"/>
      <c r="F40" s="31">
        <v>0</v>
      </c>
      <c r="G40" s="27"/>
      <c r="H40" s="32">
        <f t="shared" si="1"/>
        <v>1980000</v>
      </c>
    </row>
    <row r="41" spans="2:9" x14ac:dyDescent="0.25">
      <c r="B41" t="s">
        <v>96</v>
      </c>
      <c r="C41" s="29">
        <v>2310000</v>
      </c>
      <c r="D41" s="31">
        <v>2310000</v>
      </c>
      <c r="E41" s="31"/>
      <c r="F41" s="31">
        <v>0</v>
      </c>
      <c r="G41" s="27"/>
      <c r="H41" s="32">
        <f t="shared" si="1"/>
        <v>2310000</v>
      </c>
    </row>
    <row r="42" spans="2:9" x14ac:dyDescent="0.25">
      <c r="B42" t="s">
        <v>99</v>
      </c>
      <c r="C42" s="29">
        <v>10500000</v>
      </c>
      <c r="D42" s="31">
        <f>SUM(D39:D41)</f>
        <v>8430000</v>
      </c>
      <c r="E42" s="31">
        <v>220000</v>
      </c>
      <c r="F42" s="31">
        <f>F39</f>
        <v>2860000</v>
      </c>
      <c r="G42" s="27" t="s">
        <v>117</v>
      </c>
      <c r="H42" s="32">
        <f t="shared" si="1"/>
        <v>11510000</v>
      </c>
      <c r="I42" t="s">
        <v>122</v>
      </c>
    </row>
    <row r="43" spans="2:9" x14ac:dyDescent="0.25">
      <c r="C43" s="30"/>
      <c r="H43" s="12"/>
    </row>
    <row r="44" spans="2:9" x14ac:dyDescent="0.25">
      <c r="B44" t="s">
        <v>64</v>
      </c>
      <c r="C44" s="28">
        <f>E18*3000</f>
        <v>13050000</v>
      </c>
      <c r="D44" s="12"/>
      <c r="E44" s="12"/>
      <c r="H44" s="12">
        <f>(3000*4350)+(800*4950)</f>
        <v>17010000</v>
      </c>
      <c r="I44" s="12"/>
    </row>
    <row r="45" spans="2:9" x14ac:dyDescent="0.25">
      <c r="C45" s="28"/>
      <c r="D45" s="12"/>
      <c r="E45" s="12"/>
      <c r="H45" s="12"/>
    </row>
    <row r="46" spans="2:9" x14ac:dyDescent="0.25">
      <c r="B46" t="s">
        <v>70</v>
      </c>
      <c r="C46" s="28">
        <f>C44-C42</f>
        <v>2550000</v>
      </c>
      <c r="D46" s="12"/>
      <c r="E46" s="12"/>
      <c r="H46" s="12" t="s">
        <v>141</v>
      </c>
    </row>
    <row r="48" spans="2:9" x14ac:dyDescent="0.25">
      <c r="C48" s="12" t="s">
        <v>138</v>
      </c>
      <c r="H48" t="s">
        <v>119</v>
      </c>
    </row>
    <row r="49" spans="2:8" ht="30" x14ac:dyDescent="0.25">
      <c r="B49" s="33" t="s">
        <v>143</v>
      </c>
      <c r="H49" s="12">
        <f>(H44-H42)-C46</f>
        <v>2950000</v>
      </c>
    </row>
    <row r="51" spans="2:8" x14ac:dyDescent="0.25">
      <c r="B51" t="s">
        <v>142</v>
      </c>
      <c r="C51" s="12">
        <f>H49/1000</f>
        <v>2950</v>
      </c>
    </row>
    <row r="52" spans="2:8" x14ac:dyDescent="0.25">
      <c r="B52" t="s">
        <v>139</v>
      </c>
      <c r="C52">
        <v>2475</v>
      </c>
    </row>
    <row r="53" spans="2:8" x14ac:dyDescent="0.25">
      <c r="B53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Bijesh Singha</dc:creator>
  <cp:lastModifiedBy>Bijesh Singha</cp:lastModifiedBy>
  <dcterms:created xsi:type="dcterms:W3CDTF">2025-06-29T07:15:26Z</dcterms:created>
  <dcterms:modified xsi:type="dcterms:W3CDTF">2025-07-23T06:52:45Z</dcterms:modified>
</cp:coreProperties>
</file>