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BE560D3E-AEA7-491C-BCDC-3F1F9EE7E63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ocess Costing" sheetId="1" r:id="rId1"/>
    <sheet name="Reciprocal Method" sheetId="2" r:id="rId2"/>
    <sheet name="Joint vs By Produ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D41" i="1"/>
  <c r="D26" i="1"/>
  <c r="J23" i="3"/>
  <c r="H23" i="3"/>
  <c r="I10" i="3"/>
  <c r="I5" i="3"/>
  <c r="J13" i="1"/>
  <c r="K31" i="1" l="1"/>
  <c r="J31" i="1"/>
  <c r="K19" i="1"/>
  <c r="J19" i="1"/>
  <c r="K15" i="1"/>
  <c r="K26" i="1" s="1"/>
  <c r="J15" i="1"/>
  <c r="J26" i="1" s="1"/>
  <c r="K14" i="1"/>
  <c r="J14" i="1"/>
  <c r="K13" i="1"/>
  <c r="F19" i="1"/>
  <c r="E31" i="1"/>
  <c r="D31" i="1"/>
  <c r="E20" i="1"/>
  <c r="D20" i="1"/>
  <c r="F20" i="1" s="1"/>
  <c r="E19" i="1"/>
  <c r="D19" i="1"/>
  <c r="D14" i="1"/>
  <c r="E14" i="1"/>
  <c r="E26" i="1" s="1"/>
  <c r="E13" i="1"/>
  <c r="D13" i="1"/>
  <c r="F8" i="1"/>
  <c r="F10" i="3"/>
  <c r="E9" i="3"/>
  <c r="E8" i="3"/>
  <c r="F5" i="3"/>
  <c r="E4" i="3"/>
  <c r="G4" i="3" s="1"/>
  <c r="E3" i="3"/>
  <c r="E5" i="3" s="1"/>
  <c r="G3" i="3" l="1"/>
  <c r="G5" i="3" s="1"/>
  <c r="E10" i="3"/>
  <c r="G9" i="3"/>
  <c r="G8" i="3"/>
  <c r="H3" i="3" l="1"/>
  <c r="H8" i="3"/>
  <c r="G10" i="3"/>
  <c r="I3" i="3"/>
  <c r="H4" i="3"/>
  <c r="I4" i="3" s="1"/>
  <c r="H5" i="3" l="1"/>
  <c r="I8" i="3"/>
  <c r="H9" i="3"/>
  <c r="I9" i="3" s="1"/>
  <c r="K4" i="3"/>
  <c r="L4" i="3" s="1"/>
  <c r="J4" i="3"/>
  <c r="K3" i="3"/>
  <c r="J3" i="3"/>
  <c r="J9" i="3" l="1"/>
  <c r="K9" i="3"/>
  <c r="L9" i="3" s="1"/>
  <c r="J8" i="3"/>
  <c r="K8" i="3"/>
  <c r="H10" i="3"/>
  <c r="L3" i="3"/>
  <c r="K5" i="3"/>
  <c r="K10" i="3" l="1"/>
  <c r="L8" i="3"/>
  <c r="F24" i="2" l="1"/>
  <c r="F25" i="2" s="1"/>
  <c r="H20" i="2"/>
  <c r="D17" i="2" a="1"/>
  <c r="G17" i="2" s="1"/>
  <c r="D16" i="2" a="1"/>
  <c r="D16" i="2" s="1"/>
  <c r="C12" i="2"/>
  <c r="B12" i="2"/>
  <c r="A11" i="2"/>
  <c r="E10" i="2"/>
  <c r="A10" i="2"/>
  <c r="F9" i="2"/>
  <c r="H19" i="2" s="1"/>
  <c r="E9" i="2"/>
  <c r="A9" i="2"/>
  <c r="A8" i="2"/>
  <c r="C7" i="2"/>
  <c r="B7" i="2"/>
  <c r="F10" i="2" l="1"/>
  <c r="E20" i="2" s="1"/>
  <c r="D19" i="2"/>
  <c r="E19" i="2"/>
  <c r="F19" i="2"/>
  <c r="G19" i="2"/>
  <c r="E16" i="2"/>
  <c r="D24" i="2"/>
  <c r="D25" i="2" s="1"/>
  <c r="G16" i="2"/>
  <c r="F16" i="2"/>
  <c r="E24" i="2"/>
  <c r="E25" i="2" s="1"/>
  <c r="G24" i="2"/>
  <c r="G25" i="2" s="1"/>
  <c r="D17" i="2"/>
  <c r="E17" i="2"/>
  <c r="F17" i="2"/>
  <c r="K38" i="1"/>
  <c r="J38" i="1"/>
  <c r="K16" i="1"/>
  <c r="K20" i="1" s="1"/>
  <c r="E38" i="1"/>
  <c r="D38" i="1"/>
  <c r="F38" i="1" s="1"/>
  <c r="K37" i="1"/>
  <c r="J37" i="1"/>
  <c r="K32" i="1" l="1"/>
  <c r="K27" i="1"/>
  <c r="K33" i="1" s="1"/>
  <c r="L37" i="1"/>
  <c r="E21" i="2"/>
  <c r="D20" i="2"/>
  <c r="G20" i="2"/>
  <c r="G21" i="2" s="1"/>
  <c r="F20" i="2"/>
  <c r="F21" i="2" s="1"/>
  <c r="D21" i="2"/>
  <c r="H17" i="2"/>
  <c r="H21" i="2" s="1"/>
  <c r="G26" i="2"/>
  <c r="G27" i="2" s="1"/>
  <c r="L38" i="1"/>
  <c r="L39" i="1" s="1"/>
  <c r="J16" i="1"/>
  <c r="J20" i="1" s="1"/>
  <c r="J27" i="1" s="1"/>
  <c r="L31" i="1"/>
  <c r="D37" i="1"/>
  <c r="D15" i="1"/>
  <c r="E15" i="1"/>
  <c r="D21" i="1"/>
  <c r="E21" i="1"/>
  <c r="E37" i="1"/>
  <c r="F21" i="1" l="1"/>
  <c r="D22" i="1"/>
  <c r="E22" i="1"/>
  <c r="D27" i="1"/>
  <c r="D32" i="1"/>
  <c r="D33" i="1" s="1"/>
  <c r="J33" i="1"/>
  <c r="L33" i="1" s="1"/>
  <c r="J32" i="1"/>
  <c r="J34" i="1" s="1"/>
  <c r="J42" i="1" s="1"/>
  <c r="E27" i="1"/>
  <c r="E32" i="1"/>
  <c r="F26" i="2"/>
  <c r="F27" i="2" s="1"/>
  <c r="E26" i="2"/>
  <c r="E27" i="2" s="1"/>
  <c r="D26" i="2"/>
  <c r="D27" i="2" s="1"/>
  <c r="K34" i="1"/>
  <c r="K42" i="1" s="1"/>
  <c r="K28" i="1"/>
  <c r="K41" i="1" s="1"/>
  <c r="J28" i="1"/>
  <c r="J41" i="1" s="1"/>
  <c r="F37" i="1"/>
  <c r="F39" i="1" s="1"/>
  <c r="F28" i="2" l="1"/>
  <c r="F29" i="2" s="1"/>
  <c r="L32" i="1"/>
  <c r="L34" i="1" s="1"/>
  <c r="E46" i="1" s="1"/>
  <c r="L41" i="1"/>
  <c r="L42" i="1"/>
  <c r="L28" i="1"/>
  <c r="E47" i="1" s="1"/>
  <c r="D28" i="1"/>
  <c r="E33" i="1"/>
  <c r="E42" i="1" s="1"/>
  <c r="E28" i="1"/>
  <c r="E41" i="1" s="1"/>
  <c r="G28" i="2" l="1"/>
  <c r="G29" i="2" s="1"/>
  <c r="E28" i="2"/>
  <c r="E29" i="2" s="1"/>
  <c r="D28" i="2"/>
  <c r="D29" i="2" s="1"/>
  <c r="L43" i="1"/>
  <c r="F33" i="1"/>
  <c r="D46" i="1" s="1"/>
  <c r="F46" i="1" s="1"/>
  <c r="F42" i="1"/>
  <c r="F41" i="1"/>
  <c r="F28" i="1"/>
  <c r="D47" i="1" s="1"/>
  <c r="F47" i="1" s="1"/>
  <c r="F48" i="1" l="1"/>
  <c r="G30" i="2"/>
  <c r="F43" i="1"/>
  <c r="F30" i="2" l="1"/>
  <c r="F31" i="2" s="1"/>
  <c r="E30" i="2"/>
  <c r="E31" i="2" s="1"/>
  <c r="D30" i="2"/>
  <c r="D31" i="2" s="1"/>
  <c r="G31" i="2"/>
  <c r="F32" i="2" l="1"/>
  <c r="G32" i="2" l="1"/>
  <c r="G33" i="2" s="1"/>
  <c r="E32" i="2"/>
  <c r="E33" i="2" s="1"/>
  <c r="D32" i="2"/>
  <c r="D33" i="2" s="1"/>
  <c r="F33" i="2"/>
  <c r="G34" i="2" l="1"/>
  <c r="F34" i="2" l="1"/>
  <c r="F35" i="2" s="1"/>
  <c r="E34" i="2"/>
  <c r="E35" i="2" s="1"/>
  <c r="D34" i="2"/>
  <c r="D35" i="2" s="1"/>
  <c r="G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8" authorId="0" shapeId="0" xr:uid="{CB8E9F0C-D7C8-405E-AD07-3E67D59D87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Cost of raw material of 20,000 Units
</t>
        </r>
      </text>
    </comment>
    <comment ref="E8" authorId="0" shapeId="0" xr:uid="{79D739B6-FD11-44A6-A4EC-1F8CE97AEE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Cost of labour when there is 75 Percent conversion</t>
        </r>
      </text>
    </comment>
    <comment ref="E14" authorId="0" shapeId="0" xr:uid="{677B34E8-D7A2-43B4-81D3-EEDDEE5184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is as if we have 10k complete pieces rather than 40k 25% complete units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" authorId="0" shapeId="0" xr:uid="{E8886518-2E12-4507-A191-7DBFD19FE0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MC.
This is split off of two products</t>
        </r>
      </text>
    </comment>
    <comment ref="G2" authorId="0" shapeId="0" xr:uid="{0AF75382-FCA7-49AD-BE35-0D7D2E3E9F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MR</t>
        </r>
      </text>
    </comment>
    <comment ref="H5" authorId="0" shapeId="0" xr:uid="{42735015-DBDC-4251-B753-1EB0C8CC9A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Given</t>
        </r>
      </text>
    </comment>
  </commentList>
</comments>
</file>

<file path=xl/sharedStrings.xml><?xml version="1.0" encoding="utf-8"?>
<sst xmlns="http://schemas.openxmlformats.org/spreadsheetml/2006/main" count="156" uniqueCount="101">
  <si>
    <t>Units</t>
  </si>
  <si>
    <t>Material</t>
  </si>
  <si>
    <t>Conversion</t>
  </si>
  <si>
    <t>Percent Completed</t>
  </si>
  <si>
    <t>Started in Production</t>
  </si>
  <si>
    <t>Completed</t>
  </si>
  <si>
    <t>Equivalent Units of Production</t>
  </si>
  <si>
    <t>Transferred out</t>
  </si>
  <si>
    <t>Eq units of Production</t>
  </si>
  <si>
    <t>Cost per Equivalent Unit</t>
  </si>
  <si>
    <t>Cost added during the period</t>
  </si>
  <si>
    <t>Total Cost</t>
  </si>
  <si>
    <t>Cost per Equivalent unit</t>
  </si>
  <si>
    <t>Assigning Cost to Units</t>
  </si>
  <si>
    <t>Equivalent Units</t>
  </si>
  <si>
    <t>Total</t>
  </si>
  <si>
    <t>Units Completed &amp; transferred out</t>
  </si>
  <si>
    <t>Completed units</t>
  </si>
  <si>
    <t>Cost of Units trasnferred out</t>
  </si>
  <si>
    <t>Cost Reconciliation</t>
  </si>
  <si>
    <t>COP added during the period</t>
  </si>
  <si>
    <t>TOTAL COST</t>
  </si>
  <si>
    <t>Cost of Units transferred</t>
  </si>
  <si>
    <t>Opening WIP</t>
  </si>
  <si>
    <t>Closing WIP</t>
  </si>
  <si>
    <t>Eq units in closing WIP</t>
  </si>
  <si>
    <t>Cost of closing WIP</t>
  </si>
  <si>
    <t>Cost of Opening WIP</t>
  </si>
  <si>
    <t>Cost of Closing WIP</t>
  </si>
  <si>
    <t>Eq units need to complete opening WIP</t>
  </si>
  <si>
    <t>Units started &amp; completed during June</t>
  </si>
  <si>
    <t>Eq units in Closing WIP</t>
  </si>
  <si>
    <t>Cost to complete units in Opening WIP</t>
  </si>
  <si>
    <t>Cost of units started &amp; completed</t>
  </si>
  <si>
    <t>Cost of Units transferred out</t>
  </si>
  <si>
    <t>Eq units of Production during the period</t>
  </si>
  <si>
    <t>Ex 4-15; 4A-11</t>
  </si>
  <si>
    <t>Production</t>
  </si>
  <si>
    <t>Pediatrics</t>
  </si>
  <si>
    <t>Equation</t>
  </si>
  <si>
    <t>Dental</t>
  </si>
  <si>
    <t>Xray = 5000 + 0.2*Lab</t>
  </si>
  <si>
    <t>Service</t>
  </si>
  <si>
    <t>Xray</t>
  </si>
  <si>
    <t>Lab = 4400 + 0.1*Xray</t>
  </si>
  <si>
    <t>Lab</t>
  </si>
  <si>
    <t>Xray = 5000 + .2*(4400 + .1*Xray)</t>
  </si>
  <si>
    <t>Solving for Xray,</t>
  </si>
  <si>
    <t>Department</t>
  </si>
  <si>
    <t>TOTAL</t>
  </si>
  <si>
    <t>Original Cost</t>
  </si>
  <si>
    <t>Distribution</t>
  </si>
  <si>
    <t>X</t>
  </si>
  <si>
    <t>Y</t>
  </si>
  <si>
    <t>Joint Product</t>
  </si>
  <si>
    <t>SP pu</t>
  </si>
  <si>
    <t>Revenue</t>
  </si>
  <si>
    <t>Cost beyond split off</t>
  </si>
  <si>
    <t>Diff</t>
  </si>
  <si>
    <t>Joint Cost</t>
  </si>
  <si>
    <t>Full cost</t>
  </si>
  <si>
    <t>Cost pu</t>
  </si>
  <si>
    <t>Profit</t>
  </si>
  <si>
    <t>Profit pu</t>
  </si>
  <si>
    <t>A</t>
  </si>
  <si>
    <t>B</t>
  </si>
  <si>
    <t>By Product</t>
  </si>
  <si>
    <t>Conversion Done</t>
  </si>
  <si>
    <t>Material Introduced</t>
  </si>
  <si>
    <t>OWIP+SIP=</t>
  </si>
  <si>
    <t>COMPLETED +CWIP</t>
  </si>
  <si>
    <t>Closing WIP in Dollars in last accounting period</t>
  </si>
  <si>
    <t>so this opening WIP in Dollars in this accounting period</t>
  </si>
  <si>
    <t>In dollars</t>
  </si>
  <si>
    <t>FIFO METHOD</t>
  </si>
  <si>
    <t>These are efforts of these month</t>
  </si>
  <si>
    <t>Opening WIP Cost</t>
  </si>
  <si>
    <t>This willgo to next months' opening statement</t>
  </si>
  <si>
    <t>COGS</t>
  </si>
  <si>
    <t>Weighted avg method</t>
  </si>
  <si>
    <t>Inventory</t>
  </si>
  <si>
    <t>Wt Avg Method</t>
  </si>
  <si>
    <t>FIFO Method</t>
  </si>
  <si>
    <t>Zero Sum Game</t>
  </si>
  <si>
    <t>Main Prod</t>
  </si>
  <si>
    <t>Given</t>
  </si>
  <si>
    <t>If a prod is a by product I will not be earning any profit out of it</t>
  </si>
  <si>
    <t>Valuation of inventory</t>
  </si>
  <si>
    <t>Whatever proceed that comes out of the byproduct should be used to obtain cost of main product</t>
  </si>
  <si>
    <t/>
  </si>
  <si>
    <t>Burr</t>
  </si>
  <si>
    <t>ABS PH</t>
  </si>
  <si>
    <t>1st</t>
  </si>
  <si>
    <t>2nd</t>
  </si>
  <si>
    <t>3rd</t>
  </si>
  <si>
    <t>Valuation of Inventory</t>
  </si>
  <si>
    <t>How would the income statement of company above and company below would look like?</t>
  </si>
  <si>
    <t xml:space="preserve">Rev </t>
  </si>
  <si>
    <t>Gross Profit</t>
  </si>
  <si>
    <t>Joint</t>
  </si>
  <si>
    <t>By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</si>
</sst>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_);[Red]\(0\)"/>
    <numFmt numFmtId="167" formatCode="0_);\(0\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58">
    <xf numFmtId="0" fontId="0" fillId="0" borderId="0" xfId="0"/>
    <xf numFmtId="165" fontId="0" fillId="0" borderId="0" xfId="1" applyNumberFormat="1" applyFont="1"/>
    <xf numFmtId="3" fontId="0" fillId="0" borderId="0" xfId="0" applyNumberFormat="1"/>
    <xf numFmtId="0" fontId="2" fillId="0" borderId="0" xfId="0" applyFont="1"/>
    <xf numFmtId="164" fontId="0" fillId="0" borderId="0" xfId="1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165" fontId="0" fillId="0" borderId="1" xfId="0" applyNumberFormat="1" applyBorder="1"/>
    <xf numFmtId="3" fontId="0" fillId="2" borderId="0" xfId="0" applyNumberFormat="1" applyFill="1"/>
    <xf numFmtId="3" fontId="0" fillId="2" borderId="1" xfId="0" applyNumberFormat="1" applyFill="1" applyBorder="1"/>
    <xf numFmtId="165" fontId="0" fillId="2" borderId="0" xfId="1" applyNumberFormat="1" applyFont="1" applyFill="1"/>
    <xf numFmtId="165" fontId="0" fillId="2" borderId="1" xfId="1" applyNumberFormat="1" applyFont="1" applyFill="1" applyBorder="1"/>
    <xf numFmtId="164" fontId="0" fillId="2" borderId="0" xfId="0" applyNumberFormat="1" applyFill="1"/>
    <xf numFmtId="165" fontId="0" fillId="2" borderId="0" xfId="0" applyNumberFormat="1" applyFill="1"/>
    <xf numFmtId="165" fontId="0" fillId="2" borderId="1" xfId="0" applyNumberFormat="1" applyFill="1" applyBorder="1"/>
    <xf numFmtId="0" fontId="4" fillId="0" borderId="0" xfId="2"/>
    <xf numFmtId="0" fontId="5" fillId="0" borderId="0" xfId="2" applyFont="1"/>
    <xf numFmtId="0" fontId="4" fillId="0" borderId="0" xfId="2" quotePrefix="1"/>
    <xf numFmtId="0" fontId="5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6" fillId="3" borderId="0" xfId="2" applyFont="1" applyFill="1"/>
    <xf numFmtId="0" fontId="4" fillId="0" borderId="0" xfId="2" applyAlignment="1">
      <alignment horizontal="left" vertical="top"/>
    </xf>
    <xf numFmtId="9" fontId="5" fillId="0" borderId="0" xfId="3" applyFont="1" applyAlignment="1">
      <alignment horizontal="center"/>
    </xf>
    <xf numFmtId="166" fontId="4" fillId="0" borderId="0" xfId="2" applyNumberFormat="1"/>
    <xf numFmtId="164" fontId="0" fillId="0" borderId="0" xfId="4" applyFont="1"/>
    <xf numFmtId="166" fontId="4" fillId="0" borderId="1" xfId="2" applyNumberFormat="1" applyBorder="1"/>
    <xf numFmtId="164" fontId="0" fillId="0" borderId="1" xfId="4" applyFont="1" applyBorder="1"/>
    <xf numFmtId="0" fontId="5" fillId="0" borderId="2" xfId="2" applyFont="1" applyBorder="1"/>
    <xf numFmtId="164" fontId="5" fillId="0" borderId="2" xfId="4" applyFont="1" applyBorder="1"/>
    <xf numFmtId="167" fontId="5" fillId="0" borderId="2" xfId="4" applyNumberFormat="1" applyFont="1" applyBorder="1"/>
    <xf numFmtId="166" fontId="5" fillId="0" borderId="2" xfId="2" applyNumberFormat="1" applyFont="1" applyBorder="1"/>
    <xf numFmtId="0" fontId="0" fillId="0" borderId="3" xfId="0" applyBorder="1"/>
    <xf numFmtId="3" fontId="0" fillId="0" borderId="3" xfId="0" applyNumberFormat="1" applyBorder="1"/>
    <xf numFmtId="9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5" fontId="0" fillId="0" borderId="10" xfId="1" applyNumberFormat="1" applyFont="1" applyBorder="1"/>
    <xf numFmtId="165" fontId="0" fillId="0" borderId="11" xfId="1" applyNumberFormat="1" applyFont="1" applyBorder="1"/>
    <xf numFmtId="0" fontId="0" fillId="0" borderId="12" xfId="0" applyBorder="1"/>
    <xf numFmtId="0" fontId="0" fillId="0" borderId="13" xfId="0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0" fontId="9" fillId="0" borderId="0" xfId="0" applyFont="1"/>
    <xf numFmtId="165" fontId="0" fillId="0" borderId="0" xfId="1" applyNumberFormat="1" applyFont="1" applyBorder="1"/>
    <xf numFmtId="0" fontId="0" fillId="0" borderId="15" xfId="0" applyBorder="1"/>
    <xf numFmtId="0" fontId="9" fillId="0" borderId="15" xfId="0" applyFont="1" applyBorder="1"/>
    <xf numFmtId="0" fontId="10" fillId="0" borderId="0" xfId="0" applyFont="1"/>
    <xf numFmtId="0" fontId="0" fillId="4" borderId="0" xfId="0" applyFill="1"/>
    <xf numFmtId="0" fontId="0" fillId="4" borderId="0" xfId="0" quotePrefix="1" applyFill="1"/>
    <xf numFmtId="0" fontId="0" fillId="0" borderId="1" xfId="0" applyBorder="1"/>
    <xf numFmtId="0" fontId="0" fillId="0" borderId="0" xfId="0" applyAlignment="1">
      <alignment horizontal="center"/>
    </xf>
  </cellXfs>
  <cellStyles count="5">
    <cellStyle name="Comma" xfId="1" builtinId="3"/>
    <cellStyle name="Comma 2" xfId="4" xr:uid="{00000000-0005-0000-0000-000001000000}"/>
    <cellStyle name="Normal" xfId="0" builtinId="0"/>
    <cellStyle name="Normal 2" xfId="2" xr:uid="{00000000-0005-0000-0000-000003000000}"/>
    <cellStyle name="Percent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zoomScale="102" workbookViewId="0">
      <selection activeCell="F17" sqref="F17"/>
    </sheetView>
  </sheetViews>
  <sheetFormatPr defaultRowHeight="15" x14ac:dyDescent="0.25"/>
  <cols>
    <col min="2" max="2" width="32.28515625" bestFit="1" customWidth="1"/>
    <col min="4" max="4" width="16.5703125" bestFit="1" customWidth="1"/>
    <col min="5" max="5" width="15.28515625" customWidth="1"/>
    <col min="9" max="9" width="36.7109375" bestFit="1" customWidth="1"/>
    <col min="10" max="10" width="10" customWidth="1"/>
    <col min="11" max="11" width="11" bestFit="1" customWidth="1"/>
    <col min="12" max="12" width="10.85546875" customWidth="1"/>
  </cols>
  <sheetData>
    <row r="1" spans="1:12" ht="15.75" thickBot="1" x14ac:dyDescent="0.3">
      <c r="A1" s="3" t="s">
        <v>36</v>
      </c>
      <c r="D1" s="3" t="s">
        <v>3</v>
      </c>
    </row>
    <row r="2" spans="1:12" x14ac:dyDescent="0.25">
      <c r="B2" s="35"/>
      <c r="C2" s="36" t="s">
        <v>0</v>
      </c>
      <c r="D2" s="36" t="s">
        <v>68</v>
      </c>
      <c r="E2" s="37" t="s">
        <v>67</v>
      </c>
    </row>
    <row r="3" spans="1:12" x14ac:dyDescent="0.25">
      <c r="B3" s="38" t="s">
        <v>23</v>
      </c>
      <c r="C3" s="33">
        <v>20000</v>
      </c>
      <c r="D3" s="34">
        <v>0.9</v>
      </c>
      <c r="E3" s="39">
        <v>0.75</v>
      </c>
      <c r="H3" t="s">
        <v>69</v>
      </c>
      <c r="I3" t="s">
        <v>70</v>
      </c>
    </row>
    <row r="4" spans="1:12" x14ac:dyDescent="0.25">
      <c r="B4" s="38" t="s">
        <v>4</v>
      </c>
      <c r="C4" s="33">
        <v>180000</v>
      </c>
      <c r="D4" s="32"/>
      <c r="E4" s="40"/>
    </row>
    <row r="5" spans="1:12" x14ac:dyDescent="0.25">
      <c r="B5" s="38" t="s">
        <v>5</v>
      </c>
      <c r="C5" s="33">
        <v>160000</v>
      </c>
      <c r="D5" s="32"/>
      <c r="E5" s="40"/>
    </row>
    <row r="6" spans="1:12" x14ac:dyDescent="0.25">
      <c r="B6" s="38" t="s">
        <v>24</v>
      </c>
      <c r="C6" s="33">
        <v>40000</v>
      </c>
      <c r="D6" s="34">
        <v>0.8</v>
      </c>
      <c r="E6" s="39">
        <v>0.3</v>
      </c>
    </row>
    <row r="7" spans="1:12" x14ac:dyDescent="0.25">
      <c r="B7" s="38"/>
      <c r="C7" s="33"/>
      <c r="D7" s="34"/>
      <c r="E7" s="39"/>
    </row>
    <row r="8" spans="1:12" ht="15.75" thickBot="1" x14ac:dyDescent="0.3">
      <c r="B8" s="41" t="s">
        <v>76</v>
      </c>
      <c r="C8" s="42"/>
      <c r="D8" s="43">
        <v>25200</v>
      </c>
      <c r="E8" s="44">
        <v>24800</v>
      </c>
      <c r="F8" s="6">
        <f>SUM(D8:E8)</f>
        <v>50000</v>
      </c>
      <c r="G8" t="s">
        <v>71</v>
      </c>
    </row>
    <row r="9" spans="1:12" ht="15.75" thickBot="1" x14ac:dyDescent="0.3">
      <c r="B9" s="45" t="s">
        <v>10</v>
      </c>
      <c r="C9" s="46"/>
      <c r="D9" s="47">
        <v>334800</v>
      </c>
      <c r="E9" s="48">
        <v>238700</v>
      </c>
      <c r="G9" t="s">
        <v>72</v>
      </c>
    </row>
    <row r="10" spans="1:12" x14ac:dyDescent="0.25">
      <c r="B10" s="51"/>
      <c r="D10" s="50"/>
      <c r="E10" s="50"/>
    </row>
    <row r="11" spans="1:12" ht="18.75" x14ac:dyDescent="0.3">
      <c r="B11" s="52" t="s">
        <v>79</v>
      </c>
      <c r="I11" s="49" t="s">
        <v>74</v>
      </c>
    </row>
    <row r="12" spans="1:12" x14ac:dyDescent="0.25">
      <c r="A12" s="3">
        <v>1</v>
      </c>
      <c r="B12" s="3" t="s">
        <v>6</v>
      </c>
      <c r="D12" t="s">
        <v>1</v>
      </c>
      <c r="E12" t="s">
        <v>2</v>
      </c>
      <c r="H12" s="3">
        <v>1</v>
      </c>
      <c r="I12" s="3" t="s">
        <v>6</v>
      </c>
      <c r="J12" t="s">
        <v>1</v>
      </c>
      <c r="K12" t="s">
        <v>2</v>
      </c>
    </row>
    <row r="13" spans="1:12" x14ac:dyDescent="0.25">
      <c r="B13" t="s">
        <v>7</v>
      </c>
      <c r="D13" s="9">
        <f>C5</f>
        <v>160000</v>
      </c>
      <c r="E13" s="9">
        <f>C5</f>
        <v>160000</v>
      </c>
      <c r="I13" t="s">
        <v>29</v>
      </c>
      <c r="J13" s="9">
        <f>C3*(1-D3)</f>
        <v>1999.9999999999995</v>
      </c>
      <c r="K13" s="9">
        <f>C3*(1-E3)</f>
        <v>5000</v>
      </c>
    </row>
    <row r="14" spans="1:12" x14ac:dyDescent="0.25">
      <c r="B14" t="s">
        <v>25</v>
      </c>
      <c r="D14" s="10">
        <f>C6*D6</f>
        <v>32000</v>
      </c>
      <c r="E14" s="10">
        <f>C6*E6</f>
        <v>12000</v>
      </c>
      <c r="I14" t="s">
        <v>30</v>
      </c>
      <c r="J14" s="9">
        <f>C5-C3</f>
        <v>140000</v>
      </c>
      <c r="K14" s="9">
        <f>J14</f>
        <v>140000</v>
      </c>
    </row>
    <row r="15" spans="1:12" x14ac:dyDescent="0.25">
      <c r="B15" t="s">
        <v>8</v>
      </c>
      <c r="D15" s="2">
        <f>SUM(D13:D14)</f>
        <v>192000</v>
      </c>
      <c r="E15" s="2">
        <f>SUM(E13:E14)</f>
        <v>172000</v>
      </c>
      <c r="I15" t="s">
        <v>31</v>
      </c>
      <c r="J15" s="10">
        <f>C6*D6</f>
        <v>32000</v>
      </c>
      <c r="K15" s="10">
        <f>C6*E6</f>
        <v>12000</v>
      </c>
    </row>
    <row r="16" spans="1:12" x14ac:dyDescent="0.25">
      <c r="I16" t="s">
        <v>35</v>
      </c>
      <c r="J16" s="2">
        <f>SUM(J13:J15)</f>
        <v>174000</v>
      </c>
      <c r="K16" s="2">
        <f>SUM(K13:K15)</f>
        <v>157000</v>
      </c>
      <c r="L16" t="s">
        <v>75</v>
      </c>
    </row>
    <row r="18" spans="1:13" x14ac:dyDescent="0.25">
      <c r="A18" s="3">
        <v>2</v>
      </c>
      <c r="B18" s="3" t="s">
        <v>9</v>
      </c>
      <c r="C18" t="s">
        <v>73</v>
      </c>
      <c r="F18" t="s">
        <v>15</v>
      </c>
      <c r="H18" s="3">
        <v>2</v>
      </c>
      <c r="I18" s="3" t="s">
        <v>9</v>
      </c>
    </row>
    <row r="19" spans="1:13" x14ac:dyDescent="0.25">
      <c r="B19" t="s">
        <v>23</v>
      </c>
      <c r="D19" s="11">
        <f>D8</f>
        <v>25200</v>
      </c>
      <c r="E19" s="11">
        <f>E8</f>
        <v>24800</v>
      </c>
      <c r="F19" s="6">
        <f>SUM(D19:E19)</f>
        <v>50000</v>
      </c>
      <c r="I19" t="s">
        <v>10</v>
      </c>
      <c r="J19" s="14">
        <f>D9</f>
        <v>334800</v>
      </c>
      <c r="K19" s="14">
        <f>E9</f>
        <v>238700</v>
      </c>
    </row>
    <row r="20" spans="1:13" x14ac:dyDescent="0.25">
      <c r="B20" t="s">
        <v>10</v>
      </c>
      <c r="D20" s="12">
        <f>D9</f>
        <v>334800</v>
      </c>
      <c r="E20" s="12">
        <f>E9</f>
        <v>238700</v>
      </c>
      <c r="F20" s="6">
        <f>SUM(D20:E20)</f>
        <v>573500</v>
      </c>
      <c r="I20" t="s">
        <v>12</v>
      </c>
      <c r="J20" s="5">
        <f>J19/J16</f>
        <v>1.9241379310344828</v>
      </c>
      <c r="K20" s="5">
        <f>K19/K16</f>
        <v>1.5203821656050955</v>
      </c>
    </row>
    <row r="21" spans="1:13" x14ac:dyDescent="0.25">
      <c r="B21" s="3" t="s">
        <v>11</v>
      </c>
      <c r="D21" s="1">
        <f>SUM(D19:D20)</f>
        <v>360000</v>
      </c>
      <c r="E21" s="1">
        <f>SUM(E19:E20)</f>
        <v>263500</v>
      </c>
      <c r="F21" s="6">
        <f>SUM(D21:E21)</f>
        <v>623500</v>
      </c>
    </row>
    <row r="22" spans="1:13" x14ac:dyDescent="0.25">
      <c r="B22" t="s">
        <v>12</v>
      </c>
      <c r="D22" s="4">
        <f>D21/D15</f>
        <v>1.875</v>
      </c>
      <c r="E22" s="4">
        <f>E21/E15</f>
        <v>1.5319767441860466</v>
      </c>
    </row>
    <row r="23" spans="1:13" x14ac:dyDescent="0.25">
      <c r="D23" s="1"/>
      <c r="E23" s="1"/>
    </row>
    <row r="24" spans="1:13" x14ac:dyDescent="0.25">
      <c r="A24" s="3">
        <v>3</v>
      </c>
      <c r="B24" s="3" t="s">
        <v>13</v>
      </c>
      <c r="D24" t="s">
        <v>1</v>
      </c>
      <c r="E24" t="s">
        <v>2</v>
      </c>
      <c r="F24" t="s">
        <v>15</v>
      </c>
      <c r="H24" s="3">
        <v>3</v>
      </c>
      <c r="I24" s="3" t="s">
        <v>13</v>
      </c>
      <c r="J24" t="s">
        <v>1</v>
      </c>
      <c r="K24" t="s">
        <v>2</v>
      </c>
      <c r="L24" t="s">
        <v>15</v>
      </c>
    </row>
    <row r="25" spans="1:13" x14ac:dyDescent="0.25">
      <c r="B25" s="7" t="s">
        <v>24</v>
      </c>
      <c r="I25" s="7" t="s">
        <v>24</v>
      </c>
    </row>
    <row r="26" spans="1:13" x14ac:dyDescent="0.25">
      <c r="B26" t="s">
        <v>14</v>
      </c>
      <c r="D26" s="9">
        <f>D14</f>
        <v>32000</v>
      </c>
      <c r="E26" s="9">
        <f>E14</f>
        <v>12000</v>
      </c>
      <c r="I26" t="s">
        <v>14</v>
      </c>
      <c r="J26" s="9">
        <f>J15</f>
        <v>32000</v>
      </c>
      <c r="K26" s="9">
        <f>K15</f>
        <v>12000</v>
      </c>
    </row>
    <row r="27" spans="1:13" x14ac:dyDescent="0.25">
      <c r="B27" t="s">
        <v>12</v>
      </c>
      <c r="D27" s="13">
        <f>D22</f>
        <v>1.875</v>
      </c>
      <c r="E27" s="13">
        <f>E22</f>
        <v>1.5319767441860466</v>
      </c>
      <c r="I27" t="s">
        <v>12</v>
      </c>
      <c r="J27" s="13">
        <f>J20</f>
        <v>1.9241379310344828</v>
      </c>
      <c r="K27" s="13">
        <f>K20</f>
        <v>1.5203821656050955</v>
      </c>
    </row>
    <row r="28" spans="1:13" x14ac:dyDescent="0.25">
      <c r="B28" t="s">
        <v>26</v>
      </c>
      <c r="D28" s="6">
        <f>D26*D27</f>
        <v>60000</v>
      </c>
      <c r="E28" s="6">
        <f>E26*E27</f>
        <v>18383.720930232557</v>
      </c>
      <c r="F28" s="6">
        <f>SUM(D28:E28)</f>
        <v>78383.72093023255</v>
      </c>
      <c r="I28" t="s">
        <v>26</v>
      </c>
      <c r="J28" s="6">
        <f>J26*J27</f>
        <v>61572.413793103449</v>
      </c>
      <c r="K28" s="6">
        <f>K26*K27</f>
        <v>18244.585987261147</v>
      </c>
      <c r="L28" s="6">
        <f>SUM(J28:K28)</f>
        <v>79816.999780364597</v>
      </c>
      <c r="M28" t="s">
        <v>77</v>
      </c>
    </row>
    <row r="30" spans="1:13" x14ac:dyDescent="0.25">
      <c r="B30" s="7" t="s">
        <v>16</v>
      </c>
      <c r="I30" s="7" t="s">
        <v>16</v>
      </c>
    </row>
    <row r="31" spans="1:13" x14ac:dyDescent="0.25">
      <c r="B31" t="s">
        <v>17</v>
      </c>
      <c r="D31" s="9">
        <f>D13</f>
        <v>160000</v>
      </c>
      <c r="E31" s="9">
        <f>E13</f>
        <v>160000</v>
      </c>
      <c r="I31" t="s">
        <v>27</v>
      </c>
      <c r="J31" s="14">
        <f>D8</f>
        <v>25200</v>
      </c>
      <c r="K31" s="14">
        <f>E8</f>
        <v>24800</v>
      </c>
      <c r="L31" s="6">
        <f>SUM(J31:K31)</f>
        <v>50000</v>
      </c>
    </row>
    <row r="32" spans="1:13" x14ac:dyDescent="0.25">
      <c r="B32" t="s">
        <v>12</v>
      </c>
      <c r="D32" s="13">
        <f>D22</f>
        <v>1.875</v>
      </c>
      <c r="E32" s="13">
        <f>E22</f>
        <v>1.5319767441860466</v>
      </c>
      <c r="I32" t="s">
        <v>32</v>
      </c>
      <c r="J32" s="13">
        <f>J13*J27</f>
        <v>3848.2758620689647</v>
      </c>
      <c r="K32" s="14">
        <f>K13*K20</f>
        <v>7601.9108280254777</v>
      </c>
      <c r="L32" s="6">
        <f>SUM(J32:K32)</f>
        <v>11450.186690094442</v>
      </c>
    </row>
    <row r="33" spans="1:13" x14ac:dyDescent="0.25">
      <c r="B33" t="s">
        <v>18</v>
      </c>
      <c r="D33" s="6">
        <f>D31*D32</f>
        <v>300000</v>
      </c>
      <c r="E33" s="6">
        <f>E31*E32</f>
        <v>245116.27906976745</v>
      </c>
      <c r="F33" s="6">
        <f>SUM(D33:E33)</f>
        <v>545116.27906976745</v>
      </c>
      <c r="I33" t="s">
        <v>33</v>
      </c>
      <c r="J33" s="15">
        <f>J14*J27</f>
        <v>269379.31034482759</v>
      </c>
      <c r="K33" s="15">
        <f>K14*K27</f>
        <v>212853.50318471337</v>
      </c>
      <c r="L33" s="8">
        <f>SUM(J33:K33)</f>
        <v>482232.81352954096</v>
      </c>
    </row>
    <row r="34" spans="1:13" x14ac:dyDescent="0.25">
      <c r="I34" t="s">
        <v>34</v>
      </c>
      <c r="J34" s="6">
        <f>SUM(J31:J33)</f>
        <v>298427.58620689658</v>
      </c>
      <c r="K34" s="6">
        <f>SUM(K31:K33)</f>
        <v>245255.41401273885</v>
      </c>
      <c r="L34" s="6">
        <f>SUM(L31:L33)</f>
        <v>543683.00021963543</v>
      </c>
      <c r="M34" t="s">
        <v>78</v>
      </c>
    </row>
    <row r="36" spans="1:13" x14ac:dyDescent="0.25">
      <c r="A36" s="3">
        <v>4</v>
      </c>
      <c r="B36" s="3" t="s">
        <v>19</v>
      </c>
      <c r="H36" s="3">
        <v>4</v>
      </c>
      <c r="I36" s="3" t="s">
        <v>19</v>
      </c>
    </row>
    <row r="37" spans="1:13" x14ac:dyDescent="0.25">
      <c r="B37" t="s">
        <v>27</v>
      </c>
      <c r="D37" s="6">
        <f>D19</f>
        <v>25200</v>
      </c>
      <c r="E37" s="6">
        <f>E19</f>
        <v>24800</v>
      </c>
      <c r="F37" s="6">
        <f>SUM(D37:E37)</f>
        <v>50000</v>
      </c>
      <c r="I37" t="s">
        <v>27</v>
      </c>
      <c r="J37" s="6">
        <f>D19</f>
        <v>25200</v>
      </c>
      <c r="K37" s="6">
        <f>E19</f>
        <v>24800</v>
      </c>
      <c r="L37" s="6">
        <f>SUM(J37:K37)</f>
        <v>50000</v>
      </c>
    </row>
    <row r="38" spans="1:13" x14ac:dyDescent="0.25">
      <c r="B38" t="s">
        <v>20</v>
      </c>
      <c r="D38" s="6">
        <f>D20</f>
        <v>334800</v>
      </c>
      <c r="E38" s="6">
        <f>E20</f>
        <v>238700</v>
      </c>
      <c r="F38" s="8">
        <f>SUM(D38:E38)</f>
        <v>573500</v>
      </c>
      <c r="I38" t="s">
        <v>20</v>
      </c>
      <c r="J38" s="6">
        <f t="shared" ref="J38" si="0">D20</f>
        <v>334800</v>
      </c>
      <c r="K38" s="6">
        <f t="shared" ref="K38" si="1">E20</f>
        <v>238700</v>
      </c>
      <c r="L38" s="8">
        <f>SUM(J38:K38)</f>
        <v>573500</v>
      </c>
    </row>
    <row r="39" spans="1:13" x14ac:dyDescent="0.25">
      <c r="B39" t="s">
        <v>21</v>
      </c>
      <c r="F39" s="6">
        <f>SUM(F37:F38)</f>
        <v>623500</v>
      </c>
      <c r="I39" t="s">
        <v>21</v>
      </c>
      <c r="L39" s="6">
        <f>SUM(L37:L38)</f>
        <v>623500</v>
      </c>
    </row>
    <row r="41" spans="1:13" x14ac:dyDescent="0.25">
      <c r="B41" t="s">
        <v>28</v>
      </c>
      <c r="D41" s="6">
        <f>D28</f>
        <v>60000</v>
      </c>
      <c r="E41" s="6">
        <f>E28</f>
        <v>18383.720930232557</v>
      </c>
      <c r="F41" s="6">
        <f>SUM(D41:E41)</f>
        <v>78383.72093023255</v>
      </c>
      <c r="I41" t="s">
        <v>28</v>
      </c>
      <c r="J41" s="6">
        <f>J28</f>
        <v>61572.413793103449</v>
      </c>
      <c r="K41" s="6">
        <f>K28</f>
        <v>18244.585987261147</v>
      </c>
      <c r="L41" s="6">
        <f>SUM(J41:K41)</f>
        <v>79816.999780364597</v>
      </c>
    </row>
    <row r="42" spans="1:13" x14ac:dyDescent="0.25">
      <c r="B42" t="s">
        <v>22</v>
      </c>
      <c r="D42" s="6">
        <f>D33</f>
        <v>300000</v>
      </c>
      <c r="E42" s="6">
        <f>E33</f>
        <v>245116.27906976745</v>
      </c>
      <c r="F42" s="8">
        <f>SUM(D42:E42)</f>
        <v>545116.27906976745</v>
      </c>
      <c r="I42" t="s">
        <v>22</v>
      </c>
      <c r="J42" s="6">
        <f>J34</f>
        <v>298427.58620689658</v>
      </c>
      <c r="K42" s="6">
        <f>K34</f>
        <v>245255.41401273885</v>
      </c>
      <c r="L42" s="8">
        <f>SUM(J42:K42)</f>
        <v>543683.00021963543</v>
      </c>
    </row>
    <row r="43" spans="1:13" x14ac:dyDescent="0.25">
      <c r="F43" s="6">
        <f>SUM(F41:F42)</f>
        <v>623500</v>
      </c>
      <c r="L43" s="6">
        <f>SUM(L41:L42)</f>
        <v>623500</v>
      </c>
    </row>
    <row r="45" spans="1:13" x14ac:dyDescent="0.25">
      <c r="D45" t="s">
        <v>81</v>
      </c>
      <c r="E45" t="s">
        <v>82</v>
      </c>
      <c r="F45" t="s">
        <v>58</v>
      </c>
    </row>
    <row r="46" spans="1:13" x14ac:dyDescent="0.25">
      <c r="C46" t="s">
        <v>78</v>
      </c>
      <c r="D46" s="6">
        <f>F33</f>
        <v>545116.27906976745</v>
      </c>
      <c r="E46" s="6">
        <f>L34</f>
        <v>543683.00021963543</v>
      </c>
      <c r="F46" s="6">
        <f>D46-E46</f>
        <v>1433.2788501320174</v>
      </c>
    </row>
    <row r="47" spans="1:13" x14ac:dyDescent="0.25">
      <c r="C47" t="s">
        <v>80</v>
      </c>
      <c r="D47" s="6">
        <f>F28</f>
        <v>78383.72093023255</v>
      </c>
      <c r="E47" s="6">
        <f>L28</f>
        <v>79816.999780364597</v>
      </c>
      <c r="F47" s="6">
        <f>D47-E47</f>
        <v>-1433.2788501320465</v>
      </c>
    </row>
    <row r="48" spans="1:13" x14ac:dyDescent="0.25">
      <c r="F48" s="6">
        <f>SUM(F46:F47)</f>
        <v>-2.9103830456733704E-11</v>
      </c>
    </row>
    <row r="50" spans="3:6" x14ac:dyDescent="0.25">
      <c r="C50" s="57" t="s">
        <v>83</v>
      </c>
      <c r="D50" s="57"/>
      <c r="E50" s="57"/>
      <c r="F50" s="57"/>
    </row>
  </sheetData>
  <mergeCells count="1">
    <mergeCell ref="C50:F5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36"/>
  <sheetViews>
    <sheetView zoomScale="97" zoomScaleNormal="130" workbookViewId="0">
      <selection activeCell="G29" sqref="G29"/>
    </sheetView>
  </sheetViews>
  <sheetFormatPr defaultColWidth="9.140625" defaultRowHeight="12.75" x14ac:dyDescent="0.2"/>
  <cols>
    <col min="1" max="1" width="9.85546875" style="16" bestFit="1" customWidth="1"/>
    <col min="2" max="8" width="9.140625" style="16"/>
    <col min="9" max="9" width="16.42578125" style="16" bestFit="1" customWidth="1"/>
    <col min="10" max="16384" width="9.140625" style="16"/>
  </cols>
  <sheetData>
    <row r="2" spans="1:9" x14ac:dyDescent="0.2">
      <c r="A2" s="16" t="s">
        <v>37</v>
      </c>
      <c r="B2" s="16" t="s">
        <v>38</v>
      </c>
      <c r="C2" s="16">
        <v>25000</v>
      </c>
      <c r="E2" s="17" t="s">
        <v>39</v>
      </c>
    </row>
    <row r="3" spans="1:9" x14ac:dyDescent="0.2">
      <c r="B3" s="16" t="s">
        <v>40</v>
      </c>
      <c r="C3" s="16">
        <v>20000</v>
      </c>
      <c r="E3" s="18" t="s">
        <v>41</v>
      </c>
    </row>
    <row r="4" spans="1:9" x14ac:dyDescent="0.2">
      <c r="A4" s="16" t="s">
        <v>42</v>
      </c>
      <c r="B4" s="16" t="s">
        <v>43</v>
      </c>
      <c r="C4" s="16">
        <v>5000</v>
      </c>
      <c r="E4" s="16" t="s">
        <v>44</v>
      </c>
    </row>
    <row r="5" spans="1:9" x14ac:dyDescent="0.2">
      <c r="B5" s="16" t="s">
        <v>45</v>
      </c>
      <c r="C5" s="16">
        <v>4400</v>
      </c>
    </row>
    <row r="6" spans="1:9" x14ac:dyDescent="0.2">
      <c r="E6" s="18" t="s">
        <v>46</v>
      </c>
    </row>
    <row r="7" spans="1:9" x14ac:dyDescent="0.2">
      <c r="B7" s="19" t="str">
        <f>B4</f>
        <v>Xray</v>
      </c>
      <c r="C7" s="19" t="str">
        <f>B5</f>
        <v>Lab</v>
      </c>
    </row>
    <row r="8" spans="1:9" x14ac:dyDescent="0.2">
      <c r="A8" s="16" t="str">
        <f>B2</f>
        <v>Pediatrics</v>
      </c>
      <c r="B8" s="20">
        <v>0.5</v>
      </c>
      <c r="C8" s="20">
        <v>0.4</v>
      </c>
      <c r="E8" s="16" t="s">
        <v>47</v>
      </c>
    </row>
    <row r="9" spans="1:9" x14ac:dyDescent="0.2">
      <c r="A9" s="16" t="str">
        <f>B3</f>
        <v>Dental</v>
      </c>
      <c r="B9" s="20">
        <v>0.4</v>
      </c>
      <c r="C9" s="20">
        <v>0.4</v>
      </c>
      <c r="E9" s="16" t="str">
        <f>B4</f>
        <v>Xray</v>
      </c>
      <c r="F9" s="21">
        <f>(C4+C10*C5)/(1-C10*B11)</f>
        <v>6000</v>
      </c>
    </row>
    <row r="10" spans="1:9" x14ac:dyDescent="0.2">
      <c r="A10" s="16" t="str">
        <f>B4</f>
        <v>Xray</v>
      </c>
      <c r="B10" s="20"/>
      <c r="C10" s="20">
        <v>0.2</v>
      </c>
      <c r="E10" s="16" t="str">
        <f>B5</f>
        <v>Lab</v>
      </c>
      <c r="F10" s="21">
        <f>C5+0.1*F9</f>
        <v>5000</v>
      </c>
    </row>
    <row r="11" spans="1:9" x14ac:dyDescent="0.2">
      <c r="A11" s="16" t="str">
        <f>B5</f>
        <v>Lab</v>
      </c>
      <c r="B11" s="20">
        <v>0.1</v>
      </c>
      <c r="C11" s="20"/>
      <c r="I11" s="22"/>
    </row>
    <row r="12" spans="1:9" x14ac:dyDescent="0.2">
      <c r="B12" s="23">
        <f>SUM(B8:B11)</f>
        <v>1</v>
      </c>
      <c r="C12" s="23">
        <f>SUM(C8:C11)</f>
        <v>1</v>
      </c>
    </row>
    <row r="16" spans="1:9" x14ac:dyDescent="0.2">
      <c r="B16" s="16" t="s">
        <v>48</v>
      </c>
      <c r="D16" s="19" t="str">
        <f t="array" ref="D16:G16">TRANSPOSE(B2:B5)</f>
        <v>Pediatrics</v>
      </c>
      <c r="E16" s="19" t="str">
        <v>Dental</v>
      </c>
      <c r="F16" s="19" t="str">
        <v>Xray</v>
      </c>
      <c r="G16" s="19" t="str">
        <v>Lab</v>
      </c>
      <c r="H16" s="19" t="s">
        <v>49</v>
      </c>
    </row>
    <row r="17" spans="2:8" x14ac:dyDescent="0.2">
      <c r="B17" s="16" t="s">
        <v>50</v>
      </c>
      <c r="D17" s="16">
        <f t="array" ref="D17:G17">TRANSPOSE(C2:C5)</f>
        <v>25000</v>
      </c>
      <c r="E17" s="16">
        <v>20000</v>
      </c>
      <c r="F17" s="16">
        <v>5000</v>
      </c>
      <c r="G17" s="16">
        <v>4400</v>
      </c>
      <c r="H17" s="16">
        <f>SUM(D17:G17)</f>
        <v>54400</v>
      </c>
    </row>
    <row r="18" spans="2:8" x14ac:dyDescent="0.2">
      <c r="B18" s="16" t="s">
        <v>51</v>
      </c>
    </row>
    <row r="19" spans="2:8" ht="15" x14ac:dyDescent="0.25">
      <c r="B19" s="16" t="s">
        <v>52</v>
      </c>
      <c r="D19" s="24">
        <f>$F$9*B8</f>
        <v>3000</v>
      </c>
      <c r="E19" s="24">
        <f>$F$9*B9</f>
        <v>2400</v>
      </c>
      <c r="F19" s="24">
        <f>-F9</f>
        <v>-6000</v>
      </c>
      <c r="G19" s="24">
        <f>$F$9*B11</f>
        <v>600</v>
      </c>
      <c r="H19" s="25">
        <f>$F$9*C11</f>
        <v>0</v>
      </c>
    </row>
    <row r="20" spans="2:8" ht="15" x14ac:dyDescent="0.25">
      <c r="B20" s="16" t="s">
        <v>53</v>
      </c>
      <c r="D20" s="26">
        <f>$F$10*C8</f>
        <v>2000</v>
      </c>
      <c r="E20" s="26">
        <f>$F$10*C9</f>
        <v>2000</v>
      </c>
      <c r="F20" s="26">
        <f>$F$10*C10</f>
        <v>1000</v>
      </c>
      <c r="G20" s="26">
        <f>-F10</f>
        <v>-5000</v>
      </c>
      <c r="H20" s="27">
        <f>-G10</f>
        <v>0</v>
      </c>
    </row>
    <row r="21" spans="2:8" ht="13.5" thickBot="1" x14ac:dyDescent="0.25">
      <c r="D21" s="28">
        <f>SUM(D17:D20)</f>
        <v>30000</v>
      </c>
      <c r="E21" s="28">
        <f>SUM(E17:E20)</f>
        <v>24400</v>
      </c>
      <c r="F21" s="29">
        <f>SUM(F17:F20)</f>
        <v>0</v>
      </c>
      <c r="G21" s="29">
        <f>SUM(G17:G20)</f>
        <v>0</v>
      </c>
      <c r="H21" s="30">
        <f>SUM(H17:H20)</f>
        <v>54400</v>
      </c>
    </row>
    <row r="22" spans="2:8" ht="13.5" thickTop="1" x14ac:dyDescent="0.2"/>
    <row r="23" spans="2:8" x14ac:dyDescent="0.2">
      <c r="B23" s="16" t="s">
        <v>50</v>
      </c>
      <c r="D23" s="16">
        <v>25000</v>
      </c>
      <c r="E23" s="16">
        <v>20000</v>
      </c>
      <c r="F23" s="16">
        <v>5000</v>
      </c>
      <c r="G23" s="16">
        <v>4400</v>
      </c>
    </row>
    <row r="24" spans="2:8" x14ac:dyDescent="0.2">
      <c r="B24" s="16" t="s">
        <v>51</v>
      </c>
      <c r="C24" s="16" t="s">
        <v>43</v>
      </c>
      <c r="D24" s="26">
        <f>-F24*0.5</f>
        <v>2500</v>
      </c>
      <c r="E24" s="26">
        <f>-F24*0.4</f>
        <v>2000</v>
      </c>
      <c r="F24" s="26">
        <f>-F23</f>
        <v>-5000</v>
      </c>
      <c r="G24" s="26">
        <f>-F24*0.1</f>
        <v>500</v>
      </c>
    </row>
    <row r="25" spans="2:8" x14ac:dyDescent="0.2">
      <c r="D25" s="24">
        <f>SUM(D23:D24)</f>
        <v>27500</v>
      </c>
      <c r="E25" s="24">
        <f>SUM(E23:E24)</f>
        <v>22000</v>
      </c>
      <c r="F25" s="24">
        <f>SUM(F23:F24)</f>
        <v>0</v>
      </c>
      <c r="G25" s="24">
        <f>SUM(G23:G24)</f>
        <v>4900</v>
      </c>
    </row>
    <row r="26" spans="2:8" x14ac:dyDescent="0.2">
      <c r="C26" s="16" t="s">
        <v>45</v>
      </c>
      <c r="D26" s="26">
        <f>-G26*0.4</f>
        <v>1960</v>
      </c>
      <c r="E26" s="26">
        <f>-G26*0.4</f>
        <v>1960</v>
      </c>
      <c r="F26" s="26">
        <f>-G26*0.2</f>
        <v>980</v>
      </c>
      <c r="G26" s="26">
        <f>-G25</f>
        <v>-4900</v>
      </c>
    </row>
    <row r="27" spans="2:8" x14ac:dyDescent="0.2">
      <c r="D27" s="24">
        <f>SUM(D25:D26)</f>
        <v>29460</v>
      </c>
      <c r="E27" s="24">
        <f>SUM(E25:E26)</f>
        <v>23960</v>
      </c>
      <c r="F27" s="24">
        <f>SUM(F25:F26)</f>
        <v>980</v>
      </c>
      <c r="G27" s="24">
        <f>SUM(G25:G26)</f>
        <v>0</v>
      </c>
    </row>
    <row r="28" spans="2:8" x14ac:dyDescent="0.2">
      <c r="C28" s="16" t="s">
        <v>43</v>
      </c>
      <c r="D28" s="26">
        <f>-F28*0.5</f>
        <v>490</v>
      </c>
      <c r="E28" s="26">
        <f>-F28*0.4</f>
        <v>392</v>
      </c>
      <c r="F28" s="26">
        <f>-F27</f>
        <v>-980</v>
      </c>
      <c r="G28" s="26">
        <f>-F28*0.1</f>
        <v>98</v>
      </c>
    </row>
    <row r="29" spans="2:8" x14ac:dyDescent="0.2">
      <c r="D29" s="24">
        <f>SUM(D27:D28)</f>
        <v>29950</v>
      </c>
      <c r="E29" s="24">
        <f>SUM(E27:E28)</f>
        <v>24352</v>
      </c>
      <c r="F29" s="24">
        <f>SUM(F27:F28)</f>
        <v>0</v>
      </c>
      <c r="G29" s="24">
        <f>SUM(G27:G28)</f>
        <v>98</v>
      </c>
    </row>
    <row r="30" spans="2:8" x14ac:dyDescent="0.2">
      <c r="C30" s="16" t="s">
        <v>45</v>
      </c>
      <c r="D30" s="26">
        <f>-G30*0.4</f>
        <v>39.200000000000003</v>
      </c>
      <c r="E30" s="26">
        <f>-G30*0.4</f>
        <v>39.200000000000003</v>
      </c>
      <c r="F30" s="26">
        <f>-G30*0.2</f>
        <v>19.600000000000001</v>
      </c>
      <c r="G30" s="26">
        <f>-G29</f>
        <v>-98</v>
      </c>
    </row>
    <row r="31" spans="2:8" x14ac:dyDescent="0.2">
      <c r="D31" s="24">
        <f>SUM(D29:D30)</f>
        <v>29989.200000000001</v>
      </c>
      <c r="E31" s="24">
        <f>SUM(E29:E30)</f>
        <v>24391.200000000001</v>
      </c>
      <c r="F31" s="24">
        <f>SUM(F29:F30)</f>
        <v>19.600000000000001</v>
      </c>
      <c r="G31" s="24">
        <f>SUM(G29:G30)</f>
        <v>0</v>
      </c>
    </row>
    <row r="32" spans="2:8" x14ac:dyDescent="0.2">
      <c r="C32" s="16" t="s">
        <v>43</v>
      </c>
      <c r="D32" s="26">
        <f>-F32*0.5</f>
        <v>9.8000000000000007</v>
      </c>
      <c r="E32" s="26">
        <f>-F32*0.4</f>
        <v>7.8400000000000007</v>
      </c>
      <c r="F32" s="26">
        <f>-F31</f>
        <v>-19.600000000000001</v>
      </c>
      <c r="G32" s="26">
        <f>-F32*0.1</f>
        <v>1.9600000000000002</v>
      </c>
    </row>
    <row r="33" spans="3:7" x14ac:dyDescent="0.2">
      <c r="D33" s="24">
        <f>SUM(D31:D32)</f>
        <v>29999</v>
      </c>
      <c r="E33" s="24">
        <f>SUM(E31:E32)</f>
        <v>24399.040000000001</v>
      </c>
      <c r="F33" s="24">
        <f>SUM(F31:F32)</f>
        <v>0</v>
      </c>
      <c r="G33" s="24">
        <f>SUM(G31:G32)</f>
        <v>1.9600000000000002</v>
      </c>
    </row>
    <row r="34" spans="3:7" x14ac:dyDescent="0.2">
      <c r="C34" s="16" t="s">
        <v>45</v>
      </c>
      <c r="D34" s="26">
        <f>-G34*0.4</f>
        <v>0.78400000000000014</v>
      </c>
      <c r="E34" s="26">
        <f>-G34*0.4</f>
        <v>0.78400000000000014</v>
      </c>
      <c r="F34" s="26">
        <f>-G34*0.2</f>
        <v>0.39200000000000007</v>
      </c>
      <c r="G34" s="26">
        <f>-G33</f>
        <v>-1.9600000000000002</v>
      </c>
    </row>
    <row r="35" spans="3:7" ht="13.5" thickBot="1" x14ac:dyDescent="0.25">
      <c r="D35" s="31">
        <f>SUM(D33:D34)</f>
        <v>29999.784</v>
      </c>
      <c r="E35" s="31">
        <f>SUM(E33:E34)</f>
        <v>24399.824000000001</v>
      </c>
      <c r="F35" s="31">
        <f>SUM(F33:F34)</f>
        <v>0.39200000000000007</v>
      </c>
      <c r="G35" s="31">
        <f>SUM(G33:G34)</f>
        <v>0</v>
      </c>
    </row>
    <row r="36" spans="3:7" ht="13.5" thickTop="1" x14ac:dyDescent="0.2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tabSelected="1" zoomScale="102" zoomScaleNormal="160" workbookViewId="0">
      <selection activeCell="S26" sqref="S26"/>
    </sheetView>
  </sheetViews>
  <sheetFormatPr defaultRowHeight="15" x14ac:dyDescent="0.25"/>
  <cols>
    <col min="1" max="1" width="11.42578125" bestFit="1" customWidth="1"/>
    <col min="2" max="2" width="3.5703125" customWidth="1"/>
    <col min="3" max="3" width="5" bestFit="1" customWidth="1"/>
    <col min="4" max="4" width="5.140625" bestFit="1" customWidth="1"/>
    <col min="5" max="5" width="7.7109375" bestFit="1" customWidth="1"/>
    <col min="6" max="6" width="17.42578125" bestFit="1" customWidth="1"/>
    <col min="7" max="7" width="4.7109375" bestFit="1" customWidth="1"/>
    <col min="8" max="8" width="8.5703125" bestFit="1" customWidth="1"/>
    <col min="9" max="9" width="7.42578125" bestFit="1" customWidth="1"/>
    <col min="10" max="10" width="11.7109375" bestFit="1" customWidth="1"/>
    <col min="11" max="11" width="5.140625" bestFit="1" customWidth="1"/>
    <col min="12" max="12" width="11.7109375" bestFit="1" customWidth="1"/>
  </cols>
  <sheetData>
    <row r="1" spans="1:13" x14ac:dyDescent="0.25">
      <c r="J1" t="s">
        <v>95</v>
      </c>
    </row>
    <row r="2" spans="1:13" x14ac:dyDescent="0.25">
      <c r="A2" s="53" t="s">
        <v>54</v>
      </c>
      <c r="C2" t="s">
        <v>0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</row>
    <row r="3" spans="1:13" x14ac:dyDescent="0.25">
      <c r="B3" t="s">
        <v>64</v>
      </c>
      <c r="C3" s="54">
        <v>200</v>
      </c>
      <c r="D3" s="54">
        <v>10</v>
      </c>
      <c r="E3">
        <f>C3*D3</f>
        <v>2000</v>
      </c>
      <c r="F3" s="54">
        <v>600</v>
      </c>
      <c r="G3">
        <f>E3-F3</f>
        <v>1400</v>
      </c>
      <c r="H3">
        <f>ROUND(3000*G3/G5,0)</f>
        <v>712</v>
      </c>
      <c r="I3">
        <f>F3+H3</f>
        <v>1312</v>
      </c>
      <c r="J3">
        <f>I3/C3</f>
        <v>6.56</v>
      </c>
      <c r="K3">
        <f>E3-I3</f>
        <v>688</v>
      </c>
      <c r="L3">
        <f>K3/C3</f>
        <v>3.44</v>
      </c>
    </row>
    <row r="4" spans="1:13" x14ac:dyDescent="0.25">
      <c r="A4" t="s">
        <v>84</v>
      </c>
      <c r="B4" t="s">
        <v>65</v>
      </c>
      <c r="C4" s="54">
        <v>300</v>
      </c>
      <c r="D4" s="54">
        <v>20</v>
      </c>
      <c r="E4">
        <f>C4*D4</f>
        <v>6000</v>
      </c>
      <c r="F4" s="54">
        <v>1500</v>
      </c>
      <c r="G4">
        <f>E4-F4</f>
        <v>4500</v>
      </c>
      <c r="H4">
        <f>3000-H3</f>
        <v>2288</v>
      </c>
      <c r="I4">
        <f>F4+H4</f>
        <v>3788</v>
      </c>
      <c r="J4">
        <f>I4/C4</f>
        <v>12.626666666666667</v>
      </c>
      <c r="K4">
        <f>E4-I4</f>
        <v>2212</v>
      </c>
      <c r="L4">
        <f>K4/C4</f>
        <v>7.3733333333333331</v>
      </c>
    </row>
    <row r="5" spans="1:13" x14ac:dyDescent="0.25">
      <c r="E5">
        <f>SUM(E3:E4)</f>
        <v>8000</v>
      </c>
      <c r="F5">
        <f>SUM(F3:F4)</f>
        <v>2100</v>
      </c>
      <c r="G5">
        <f>SUM(G3:G4)</f>
        <v>5900</v>
      </c>
      <c r="H5" s="54">
        <f>SUM(H3:H4)</f>
        <v>3000</v>
      </c>
      <c r="I5">
        <f>SUM(I3:I4)</f>
        <v>5100</v>
      </c>
      <c r="K5">
        <f>SUM(K3:K4)</f>
        <v>2900</v>
      </c>
    </row>
    <row r="7" spans="1:13" x14ac:dyDescent="0.25">
      <c r="A7" s="53" t="s">
        <v>66</v>
      </c>
      <c r="C7" t="s">
        <v>0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 t="s">
        <v>61</v>
      </c>
      <c r="K7" t="s">
        <v>62</v>
      </c>
      <c r="L7" t="s">
        <v>63</v>
      </c>
    </row>
    <row r="8" spans="1:13" x14ac:dyDescent="0.25">
      <c r="B8" t="s">
        <v>64</v>
      </c>
      <c r="C8" s="54">
        <v>200</v>
      </c>
      <c r="D8" s="54">
        <v>10</v>
      </c>
      <c r="E8">
        <f>C8*D8</f>
        <v>2000</v>
      </c>
      <c r="F8" s="54">
        <v>600</v>
      </c>
      <c r="G8">
        <f>E8-F8</f>
        <v>1400</v>
      </c>
      <c r="H8">
        <f>G8</f>
        <v>1400</v>
      </c>
      <c r="I8">
        <f>F8+H8</f>
        <v>2000</v>
      </c>
      <c r="J8">
        <f>I8/C8</f>
        <v>10</v>
      </c>
      <c r="K8">
        <f>E8-I8</f>
        <v>0</v>
      </c>
      <c r="L8">
        <f>K8/C8</f>
        <v>0</v>
      </c>
      <c r="M8" t="s">
        <v>90</v>
      </c>
    </row>
    <row r="9" spans="1:13" x14ac:dyDescent="0.25">
      <c r="A9" t="s">
        <v>84</v>
      </c>
      <c r="B9" t="s">
        <v>65</v>
      </c>
      <c r="C9" s="54">
        <v>300</v>
      </c>
      <c r="D9" s="54">
        <v>20</v>
      </c>
      <c r="E9">
        <f>C9*D9</f>
        <v>6000</v>
      </c>
      <c r="F9" s="54">
        <v>1500</v>
      </c>
      <c r="G9">
        <f>E9-F9</f>
        <v>4500</v>
      </c>
      <c r="H9">
        <f>3000-H8</f>
        <v>1600</v>
      </c>
      <c r="I9">
        <f>F9+H9</f>
        <v>3100</v>
      </c>
      <c r="J9">
        <f>I9/C9</f>
        <v>10.333333333333334</v>
      </c>
      <c r="K9">
        <f>E9-I9</f>
        <v>2900</v>
      </c>
      <c r="L9">
        <f>K9/C9</f>
        <v>9.6666666666666661</v>
      </c>
      <c r="M9" t="s">
        <v>91</v>
      </c>
    </row>
    <row r="10" spans="1:13" x14ac:dyDescent="0.25">
      <c r="E10">
        <f>SUM(E8:E9)</f>
        <v>8000</v>
      </c>
      <c r="F10">
        <f>SUM(F8:F9)</f>
        <v>2100</v>
      </c>
      <c r="G10">
        <f>SUM(G8:G9)</f>
        <v>5900</v>
      </c>
      <c r="H10" s="54">
        <f>SUM(H8:H9)</f>
        <v>3000</v>
      </c>
      <c r="I10">
        <f>SUM(I8:I9)</f>
        <v>5100</v>
      </c>
      <c r="K10">
        <f>SUM(K8:K9)</f>
        <v>2900</v>
      </c>
    </row>
    <row r="11" spans="1:13" x14ac:dyDescent="0.25">
      <c r="F11" t="s">
        <v>93</v>
      </c>
      <c r="G11" t="s">
        <v>94</v>
      </c>
      <c r="H11" t="s">
        <v>92</v>
      </c>
    </row>
    <row r="14" spans="1:13" x14ac:dyDescent="0.25">
      <c r="F14" t="s">
        <v>87</v>
      </c>
    </row>
    <row r="15" spans="1:13" x14ac:dyDescent="0.25">
      <c r="F15" t="s">
        <v>86</v>
      </c>
    </row>
    <row r="16" spans="1:13" x14ac:dyDescent="0.25">
      <c r="F16" t="s">
        <v>88</v>
      </c>
    </row>
    <row r="17" spans="5:10" x14ac:dyDescent="0.25">
      <c r="E17" t="s">
        <v>85</v>
      </c>
      <c r="F17" s="55" t="s">
        <v>89</v>
      </c>
    </row>
    <row r="19" spans="5:10" x14ac:dyDescent="0.25">
      <c r="E19" s="54"/>
      <c r="F19" t="s">
        <v>96</v>
      </c>
    </row>
    <row r="20" spans="5:10" x14ac:dyDescent="0.25">
      <c r="H20" t="s">
        <v>99</v>
      </c>
      <c r="J20" t="s">
        <v>100</v>
      </c>
    </row>
    <row r="21" spans="5:10" x14ac:dyDescent="0.25">
      <c r="F21" t="s">
        <v>97</v>
      </c>
      <c r="H21">
        <v>8000</v>
      </c>
      <c r="J21">
        <v>6000</v>
      </c>
    </row>
    <row r="22" spans="5:10" x14ac:dyDescent="0.25">
      <c r="F22" s="56" t="s">
        <v>78</v>
      </c>
      <c r="G22" s="56"/>
      <c r="H22" s="56">
        <v>5100</v>
      </c>
      <c r="I22" s="56"/>
      <c r="J22" s="56">
        <v>3100</v>
      </c>
    </row>
    <row r="23" spans="5:10" x14ac:dyDescent="0.25">
      <c r="F23" t="s">
        <v>98</v>
      </c>
      <c r="H23">
        <f>H21-H22</f>
        <v>2900</v>
      </c>
      <c r="J23">
        <f t="shared" ref="J23" si="0">J21-J22</f>
        <v>2900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Costing</vt:lpstr>
      <vt:lpstr>Reciprocal Method</vt:lpstr>
      <vt:lpstr>Joint vs By 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2025-07-27T04:58:59Z</dcterms:modified>
</cp:coreProperties>
</file>