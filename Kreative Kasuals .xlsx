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GLIM Files\Managerial Accounting - Iyer Sir\"/>
    </mc:Choice>
  </mc:AlternateContent>
  <xr:revisionPtr revIDLastSave="0" documentId="13_ncr:1_{0F4B2B3D-1BD6-4E89-8ACB-D02DBA9611A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2-22" sheetId="5" r:id="rId1"/>
    <sheet name="Existing Cost Structure" sheetId="4" r:id="rId2"/>
    <sheet name="Sheet1" sheetId="6" r:id="rId3"/>
    <sheet name="Sheet2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4" l="1"/>
  <c r="L30" i="4"/>
  <c r="N27" i="4"/>
  <c r="M18" i="4"/>
  <c r="L18" i="4"/>
  <c r="T9" i="4"/>
  <c r="S9" i="4"/>
  <c r="R9" i="4"/>
  <c r="T8" i="4"/>
  <c r="N8" i="4"/>
  <c r="R11" i="4"/>
  <c r="S11" i="4"/>
  <c r="T11" i="4"/>
  <c r="T10" i="4"/>
  <c r="S10" i="4"/>
  <c r="R10" i="4"/>
  <c r="T6" i="4"/>
  <c r="T3" i="4"/>
  <c r="N31" i="4"/>
  <c r="N30" i="4"/>
  <c r="M30" i="4"/>
  <c r="L31" i="4"/>
  <c r="L17" i="4"/>
  <c r="N17" i="4"/>
  <c r="M17" i="4"/>
  <c r="N7" i="4"/>
  <c r="T4" i="4"/>
  <c r="R5" i="4"/>
  <c r="S3" i="4"/>
  <c r="R3" i="4"/>
  <c r="M23" i="4"/>
  <c r="G19" i="5"/>
  <c r="E19" i="5"/>
  <c r="D19" i="5"/>
  <c r="C19" i="5"/>
  <c r="E15" i="5"/>
  <c r="D15" i="5"/>
  <c r="C15" i="5"/>
  <c r="E12" i="5"/>
  <c r="E11" i="5"/>
  <c r="T12" i="4" l="1"/>
  <c r="M31" i="4" l="1"/>
  <c r="N23" i="4"/>
  <c r="L23" i="4"/>
  <c r="O22" i="4"/>
  <c r="L24" i="4"/>
  <c r="O16" i="4"/>
  <c r="L9" i="4"/>
  <c r="M9" i="4"/>
  <c r="H12" i="4"/>
  <c r="F3" i="4"/>
  <c r="H3" i="4"/>
  <c r="H13" i="4" s="1"/>
  <c r="D24" i="5"/>
  <c r="E24" i="5" s="1"/>
  <c r="E17" i="5"/>
  <c r="D17" i="5"/>
  <c r="C17" i="5"/>
  <c r="F8" i="5"/>
  <c r="F7" i="5"/>
  <c r="D23" i="5" s="1"/>
  <c r="F4" i="5"/>
  <c r="F3" i="5"/>
  <c r="O31" i="4" l="1"/>
  <c r="F17" i="5"/>
  <c r="E25" i="5" s="1"/>
  <c r="E23" i="5"/>
  <c r="D25" i="5"/>
  <c r="D26" i="5" s="1"/>
  <c r="E26" i="5" l="1"/>
  <c r="E27" i="5" s="1"/>
  <c r="E28" i="5" s="1"/>
  <c r="D27" i="5"/>
  <c r="D28" i="5" s="1"/>
  <c r="G6" i="4" l="1"/>
  <c r="H6" i="4" s="1"/>
  <c r="G7" i="4"/>
  <c r="G8" i="4"/>
  <c r="H8" i="4" s="1"/>
  <c r="G11" i="4"/>
  <c r="F6" i="4"/>
  <c r="F7" i="4"/>
  <c r="F11" i="4"/>
  <c r="O21" i="4"/>
  <c r="N24" i="4"/>
  <c r="T17" i="4" s="1"/>
  <c r="M24" i="4"/>
  <c r="S17" i="4" s="1"/>
  <c r="R17" i="4"/>
  <c r="N5" i="4"/>
  <c r="N9" i="4"/>
  <c r="N11" i="4"/>
  <c r="N18" i="4"/>
  <c r="T15" i="4" s="1"/>
  <c r="S6" i="4"/>
  <c r="M11" i="4"/>
  <c r="S12" i="4"/>
  <c r="S15" i="4"/>
  <c r="R6" i="4"/>
  <c r="L11" i="4"/>
  <c r="R12" i="4"/>
  <c r="R15" i="4"/>
  <c r="H4" i="4"/>
  <c r="H9" i="4"/>
  <c r="H10" i="4"/>
  <c r="C4" i="4"/>
  <c r="C13" i="4"/>
  <c r="O2" i="4"/>
  <c r="S14" i="4" l="1"/>
  <c r="S16" i="4" s="1"/>
  <c r="S18" i="4" s="1"/>
  <c r="R14" i="4"/>
  <c r="R16" i="4" s="1"/>
  <c r="R18" i="4" s="1"/>
  <c r="T14" i="4"/>
  <c r="T16" i="4" s="1"/>
  <c r="T18" i="4" s="1"/>
  <c r="H7" i="4"/>
  <c r="H11" i="4" s="1"/>
  <c r="H15" i="4" s="1"/>
</calcChain>
</file>

<file path=xl/sharedStrings.xml><?xml version="1.0" encoding="utf-8"?>
<sst xmlns="http://schemas.openxmlformats.org/spreadsheetml/2006/main" count="120" uniqueCount="100">
  <si>
    <t>Sales</t>
  </si>
  <si>
    <t>COGS</t>
  </si>
  <si>
    <t>Gross Profit</t>
  </si>
  <si>
    <t>Rent</t>
  </si>
  <si>
    <t>Utilities</t>
  </si>
  <si>
    <t>Phone</t>
  </si>
  <si>
    <t>Salary</t>
  </si>
  <si>
    <t>Misc</t>
  </si>
  <si>
    <t>Net Profit</t>
  </si>
  <si>
    <t>Factory</t>
  </si>
  <si>
    <t>Admin</t>
  </si>
  <si>
    <t>Uitilites</t>
  </si>
  <si>
    <t>Total</t>
  </si>
  <si>
    <t>Maint</t>
  </si>
  <si>
    <t>Mat &amp; Lab</t>
  </si>
  <si>
    <t>T-Shirts</t>
  </si>
  <si>
    <t>Boxers</t>
  </si>
  <si>
    <t>Coveralls</t>
  </si>
  <si>
    <t>Direct Cost</t>
  </si>
  <si>
    <t>OH</t>
  </si>
  <si>
    <t>Full Cost</t>
  </si>
  <si>
    <t>Fabric per unit (metres)</t>
  </si>
  <si>
    <t>Cost per metre</t>
  </si>
  <si>
    <t>Velcro / Elastic (per unit)</t>
  </si>
  <si>
    <t>Knit (8hrs - 4000 m)</t>
  </si>
  <si>
    <t>Dye ($1.15 per metre)</t>
  </si>
  <si>
    <t>Cut (8hrs - 4500 m)</t>
  </si>
  <si>
    <t>Sew (units per 8hrs)</t>
  </si>
  <si>
    <t>Package (units per 8hrs)</t>
  </si>
  <si>
    <t>Estimate of cost per unit</t>
  </si>
  <si>
    <t>Material : Fabric</t>
  </si>
  <si>
    <t>Material : Dye</t>
  </si>
  <si>
    <t>Material : Velcro / Elastic</t>
  </si>
  <si>
    <t>Material Cost</t>
  </si>
  <si>
    <t>Labour: Knit @$20 phr</t>
  </si>
  <si>
    <t>Labour: Cut @$15 phr</t>
  </si>
  <si>
    <t>Labour: Sew @$15 phr</t>
  </si>
  <si>
    <t>Labour: Package @$15 phr</t>
  </si>
  <si>
    <t>Labour Cost</t>
  </si>
  <si>
    <t>Computation of OH Absorption rate</t>
  </si>
  <si>
    <t>Units pm (Current)</t>
  </si>
  <si>
    <t>Sew hr per units</t>
  </si>
  <si>
    <t>Annual Sew hours</t>
  </si>
  <si>
    <t>Factory OH Absorption rate</t>
  </si>
  <si>
    <t>Factory OH per unit</t>
  </si>
  <si>
    <t>Admin OH Absorption rate</t>
  </si>
  <si>
    <t>Admin OH per unit</t>
  </si>
  <si>
    <t>Production Cost</t>
  </si>
  <si>
    <t>Profit Margin</t>
  </si>
  <si>
    <t>Table 1</t>
  </si>
  <si>
    <t>Fabricating</t>
  </si>
  <si>
    <t>Machining</t>
  </si>
  <si>
    <t>Assembly</t>
  </si>
  <si>
    <t>OVERALL</t>
  </si>
  <si>
    <t>CEO's remarks - "We just lost the bid for Koopers job by $2000. It seems that we're either too high to get the job</t>
  </si>
  <si>
    <t>Mfg OH $</t>
  </si>
  <si>
    <t>or too low to make any money on half the jobs we bid."</t>
  </si>
  <si>
    <t>Direct Lab $</t>
  </si>
  <si>
    <t>The company uses a plantwide predetermined OH rate based on Direct Labor Cost.</t>
  </si>
  <si>
    <t>Table 2</t>
  </si>
  <si>
    <t>For Koopers job</t>
  </si>
  <si>
    <t>Data at the three Dept level for Manufacturing OH and the Direct Lab Cost</t>
  </si>
  <si>
    <t>Direct Mat $</t>
  </si>
  <si>
    <t>Info pertaining to a select job - Koopers job</t>
  </si>
  <si>
    <t>Questions for Analysis</t>
  </si>
  <si>
    <t>Step by Step ANALYSIS</t>
  </si>
  <si>
    <t>Arrive at the plantwide predetermined OH rate based on existing approach and the unit cost for Koopers job</t>
  </si>
  <si>
    <t>Plantwide OH Absorption rate</t>
  </si>
  <si>
    <t>Perform the same analysis using Department wise OH rate</t>
  </si>
  <si>
    <t>In case of Koopers job, can you explain why costs vary so much based on these two computations</t>
  </si>
  <si>
    <t>Given a 50% markup on total cost, arrive at the bid price under both approaches and draw implications</t>
  </si>
  <si>
    <t>Departmental OH Absorption rate</t>
  </si>
  <si>
    <t>Concept check - Think of different cost driver candidates for plantwide OH rate</t>
  </si>
  <si>
    <t>DL share</t>
  </si>
  <si>
    <t>Bidding rate under various appraoches</t>
  </si>
  <si>
    <t>Plant OH</t>
  </si>
  <si>
    <t>Dept OH</t>
  </si>
  <si>
    <t>D Mat</t>
  </si>
  <si>
    <t>D Lab</t>
  </si>
  <si>
    <t>Total Cost</t>
  </si>
  <si>
    <t>Markup</t>
  </si>
  <si>
    <t>Bid Price</t>
  </si>
  <si>
    <t>Direct</t>
  </si>
  <si>
    <t>Material</t>
  </si>
  <si>
    <t>Labour</t>
  </si>
  <si>
    <t>Other DM</t>
  </si>
  <si>
    <t>Indirect</t>
  </si>
  <si>
    <t>Production</t>
  </si>
  <si>
    <t>Manufacturing</t>
  </si>
  <si>
    <t>Selling and Distn</t>
  </si>
  <si>
    <t>Absorption of OH</t>
  </si>
  <si>
    <t>Plant wise</t>
  </si>
  <si>
    <t>Dept wise</t>
  </si>
  <si>
    <t>(For every 1 dollar of labour</t>
  </si>
  <si>
    <t xml:space="preserve"> they are absorbing 1.4 dollars</t>
  </si>
  <si>
    <t xml:space="preserve"> of OH cost)</t>
  </si>
  <si>
    <t>(Total cost of Cooper's job using departmental absorption rate)</t>
  </si>
  <si>
    <t>Fac OH/unit</t>
  </si>
  <si>
    <t>Units produced per hour</t>
  </si>
  <si>
    <t>Total Hours required for all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</si>
</sst>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0"/>
    <numFmt numFmtId="166" formatCode="_(* #,##0_);_(* \(#,##0\);_(* &quot;-&quot;??_);_(@_)"/>
    <numFmt numFmtId="167" formatCode="_(* #,##0_);_(* \(#,##0\);_(* &quot;-&quot;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2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right"/>
    </xf>
    <xf numFmtId="10" fontId="1" fillId="0" borderId="0" xfId="0" applyNumberFormat="1" applyFont="1"/>
    <xf numFmtId="0" fontId="2" fillId="0" borderId="0" xfId="0" applyFont="1"/>
    <xf numFmtId="2" fontId="2" fillId="0" borderId="0" xfId="0" applyNumberFormat="1" applyFont="1"/>
    <xf numFmtId="166" fontId="0" fillId="0" borderId="0" xfId="1" applyNumberFormat="1" applyFont="1"/>
    <xf numFmtId="166" fontId="1" fillId="0" borderId="0" xfId="0" applyNumberFormat="1" applyFont="1"/>
    <xf numFmtId="9" fontId="0" fillId="2" borderId="0" xfId="2" applyFont="1" applyFill="1"/>
    <xf numFmtId="166" fontId="0" fillId="0" borderId="0" xfId="0" applyNumberFormat="1"/>
    <xf numFmtId="166" fontId="0" fillId="2" borderId="0" xfId="0" applyNumberFormat="1" applyFill="1"/>
    <xf numFmtId="166" fontId="0" fillId="0" borderId="1" xfId="0" applyNumberFormat="1" applyBorder="1"/>
    <xf numFmtId="167" fontId="0" fillId="0" borderId="1" xfId="0" applyNumberFormat="1" applyBorder="1"/>
    <xf numFmtId="9" fontId="0" fillId="3" borderId="0" xfId="2" applyFont="1" applyFill="1"/>
    <xf numFmtId="166" fontId="1" fillId="3" borderId="0" xfId="0" applyNumberFormat="1" applyFont="1" applyFill="1"/>
    <xf numFmtId="0" fontId="0" fillId="4" borderId="0" xfId="0" applyFill="1"/>
    <xf numFmtId="0" fontId="0" fillId="3" borderId="0" xfId="0" applyFill="1"/>
    <xf numFmtId="166" fontId="0" fillId="3" borderId="0" xfId="0" applyNumberForma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8"/>
  <sheetViews>
    <sheetView zoomScaleNormal="100" workbookViewId="0">
      <selection activeCell="H20" sqref="H20"/>
    </sheetView>
  </sheetViews>
  <sheetFormatPr defaultRowHeight="14.4" x14ac:dyDescent="0.3"/>
  <cols>
    <col min="2" max="2" width="15.44140625" customWidth="1"/>
    <col min="3" max="3" width="11.5546875" bestFit="1" customWidth="1"/>
    <col min="4" max="4" width="9.5546875" bestFit="1" customWidth="1"/>
  </cols>
  <sheetData>
    <row r="2" spans="1:10" x14ac:dyDescent="0.3">
      <c r="A2" t="s">
        <v>49</v>
      </c>
      <c r="C2" t="s">
        <v>50</v>
      </c>
      <c r="D2" t="s">
        <v>51</v>
      </c>
      <c r="E2" t="s">
        <v>52</v>
      </c>
      <c r="F2" t="s">
        <v>53</v>
      </c>
      <c r="I2" s="1" t="s">
        <v>54</v>
      </c>
    </row>
    <row r="3" spans="1:10" x14ac:dyDescent="0.3">
      <c r="B3" t="s">
        <v>55</v>
      </c>
      <c r="C3" s="10">
        <v>350000</v>
      </c>
      <c r="D3" s="10">
        <v>400000</v>
      </c>
      <c r="E3" s="10">
        <v>90000</v>
      </c>
      <c r="F3" s="10">
        <f>SUM(C3:E3)</f>
        <v>840000</v>
      </c>
      <c r="I3" s="1" t="s">
        <v>56</v>
      </c>
    </row>
    <row r="4" spans="1:10" x14ac:dyDescent="0.3">
      <c r="B4" t="s">
        <v>57</v>
      </c>
      <c r="C4" s="10">
        <v>200000</v>
      </c>
      <c r="D4" s="10">
        <v>100000</v>
      </c>
      <c r="E4" s="10">
        <v>300000</v>
      </c>
      <c r="F4" s="10">
        <f>SUM(C4:E4)</f>
        <v>600000</v>
      </c>
    </row>
    <row r="5" spans="1:10" x14ac:dyDescent="0.3">
      <c r="I5" t="s">
        <v>58</v>
      </c>
    </row>
    <row r="6" spans="1:10" x14ac:dyDescent="0.3">
      <c r="A6" t="s">
        <v>59</v>
      </c>
      <c r="B6" t="s">
        <v>60</v>
      </c>
      <c r="I6" t="s">
        <v>49</v>
      </c>
      <c r="J6" t="s">
        <v>61</v>
      </c>
    </row>
    <row r="7" spans="1:10" x14ac:dyDescent="0.3">
      <c r="B7" t="s">
        <v>62</v>
      </c>
      <c r="C7" s="10">
        <v>3000</v>
      </c>
      <c r="D7" s="10">
        <v>200</v>
      </c>
      <c r="E7" s="10">
        <v>1400</v>
      </c>
      <c r="F7" s="10">
        <f>SUM(C7:E7)</f>
        <v>4600</v>
      </c>
      <c r="I7" t="s">
        <v>59</v>
      </c>
      <c r="J7" t="s">
        <v>63</v>
      </c>
    </row>
    <row r="8" spans="1:10" x14ac:dyDescent="0.3">
      <c r="B8" t="s">
        <v>57</v>
      </c>
      <c r="C8" s="10">
        <v>2800</v>
      </c>
      <c r="D8" s="10">
        <v>500</v>
      </c>
      <c r="E8" s="10">
        <v>6200</v>
      </c>
      <c r="F8" s="10">
        <f>SUM(C8:E8)</f>
        <v>9500</v>
      </c>
    </row>
    <row r="9" spans="1:10" x14ac:dyDescent="0.3">
      <c r="I9" t="s">
        <v>64</v>
      </c>
    </row>
    <row r="10" spans="1:10" x14ac:dyDescent="0.3">
      <c r="A10" s="1" t="s">
        <v>65</v>
      </c>
      <c r="I10">
        <v>1</v>
      </c>
      <c r="J10" t="s">
        <v>66</v>
      </c>
    </row>
    <row r="11" spans="1:10" x14ac:dyDescent="0.3">
      <c r="A11">
        <v>1</v>
      </c>
      <c r="B11" t="s">
        <v>67</v>
      </c>
      <c r="E11" s="17">
        <f>F3/F4</f>
        <v>1.4</v>
      </c>
      <c r="F11" t="s">
        <v>93</v>
      </c>
      <c r="I11">
        <v>2</v>
      </c>
      <c r="J11" t="s">
        <v>68</v>
      </c>
    </row>
    <row r="12" spans="1:10" x14ac:dyDescent="0.3">
      <c r="B12" t="s">
        <v>60</v>
      </c>
      <c r="E12" s="18">
        <f>F8*E11</f>
        <v>13300</v>
      </c>
      <c r="F12" t="s">
        <v>94</v>
      </c>
      <c r="I12">
        <v>3</v>
      </c>
      <c r="J12" t="s">
        <v>69</v>
      </c>
    </row>
    <row r="13" spans="1:10" x14ac:dyDescent="0.3">
      <c r="F13" t="s">
        <v>95</v>
      </c>
      <c r="I13">
        <v>4</v>
      </c>
      <c r="J13" t="s">
        <v>70</v>
      </c>
    </row>
    <row r="14" spans="1:10" x14ac:dyDescent="0.3">
      <c r="A14">
        <v>2</v>
      </c>
      <c r="B14" t="s">
        <v>71</v>
      </c>
    </row>
    <row r="15" spans="1:10" x14ac:dyDescent="0.3">
      <c r="C15" s="17">
        <f>C3/C4</f>
        <v>1.75</v>
      </c>
      <c r="D15" s="17">
        <f>D3/D4</f>
        <v>4</v>
      </c>
      <c r="E15" s="12">
        <f>E3/E4</f>
        <v>0.3</v>
      </c>
      <c r="I15" t="s">
        <v>72</v>
      </c>
    </row>
    <row r="16" spans="1:10" x14ac:dyDescent="0.3">
      <c r="B16" t="s">
        <v>60</v>
      </c>
    </row>
    <row r="17" spans="1:8" x14ac:dyDescent="0.3">
      <c r="C17" s="13">
        <f>C8*C15</f>
        <v>4900</v>
      </c>
      <c r="D17" s="13">
        <f>D8*D15</f>
        <v>2000</v>
      </c>
      <c r="E17" s="14">
        <f>E8*E15</f>
        <v>1860</v>
      </c>
      <c r="F17" s="11">
        <f>SUM(C17:E17)</f>
        <v>8760</v>
      </c>
    </row>
    <row r="19" spans="1:8" x14ac:dyDescent="0.3">
      <c r="A19">
        <v>3</v>
      </c>
      <c r="B19" t="s">
        <v>73</v>
      </c>
      <c r="C19" s="17">
        <f>C8/F8</f>
        <v>0.29473684210526313</v>
      </c>
      <c r="D19" s="17">
        <f>D8/F8</f>
        <v>5.2631578947368418E-2</v>
      </c>
      <c r="E19" s="17">
        <f>E8/F8</f>
        <v>0.65263157894736845</v>
      </c>
      <c r="G19" s="21">
        <f>F17+F8+F7</f>
        <v>22860</v>
      </c>
      <c r="H19" t="s">
        <v>96</v>
      </c>
    </row>
    <row r="21" spans="1:8" x14ac:dyDescent="0.3">
      <c r="A21">
        <v>4</v>
      </c>
      <c r="B21" t="s">
        <v>74</v>
      </c>
    </row>
    <row r="22" spans="1:8" x14ac:dyDescent="0.3">
      <c r="D22" t="s">
        <v>75</v>
      </c>
      <c r="E22" t="s">
        <v>76</v>
      </c>
    </row>
    <row r="23" spans="1:8" x14ac:dyDescent="0.3">
      <c r="C23" t="s">
        <v>77</v>
      </c>
      <c r="D23" s="13">
        <f>F7</f>
        <v>4600</v>
      </c>
      <c r="E23" s="13">
        <f>D23</f>
        <v>4600</v>
      </c>
    </row>
    <row r="24" spans="1:8" x14ac:dyDescent="0.3">
      <c r="C24" t="s">
        <v>78</v>
      </c>
      <c r="D24" s="13">
        <f>F8</f>
        <v>9500</v>
      </c>
      <c r="E24" s="13">
        <f>D24</f>
        <v>9500</v>
      </c>
    </row>
    <row r="25" spans="1:8" x14ac:dyDescent="0.3">
      <c r="C25" t="s">
        <v>19</v>
      </c>
      <c r="D25" s="15">
        <f>E12</f>
        <v>13300</v>
      </c>
      <c r="E25" s="15">
        <f>F17</f>
        <v>8760</v>
      </c>
    </row>
    <row r="26" spans="1:8" x14ac:dyDescent="0.3">
      <c r="C26" t="s">
        <v>79</v>
      </c>
      <c r="D26" s="13">
        <f>SUM(D23:D25)</f>
        <v>27400</v>
      </c>
      <c r="E26" s="13">
        <f>SUM(E23:E25)</f>
        <v>22860</v>
      </c>
    </row>
    <row r="27" spans="1:8" x14ac:dyDescent="0.3">
      <c r="C27" t="s">
        <v>80</v>
      </c>
      <c r="D27" s="16">
        <f>D26*0.5</f>
        <v>13700</v>
      </c>
      <c r="E27" s="16">
        <f>E26*0.5</f>
        <v>11430</v>
      </c>
    </row>
    <row r="28" spans="1:8" x14ac:dyDescent="0.3">
      <c r="C28" s="1" t="s">
        <v>81</v>
      </c>
      <c r="D28" s="11">
        <f>D26+D27</f>
        <v>41100</v>
      </c>
      <c r="E28" s="11">
        <f>E26+E27</f>
        <v>34290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55"/>
  <sheetViews>
    <sheetView tabSelected="1" topLeftCell="D1" workbookViewId="0">
      <selection activeCell="R1" sqref="R1:T1"/>
    </sheetView>
  </sheetViews>
  <sheetFormatPr defaultRowHeight="14.4" x14ac:dyDescent="0.3"/>
  <cols>
    <col min="2" max="2" width="10.5546875" bestFit="1" customWidth="1"/>
    <col min="3" max="3" width="8" bestFit="1" customWidth="1"/>
    <col min="5" max="5" width="12.109375" bestFit="1" customWidth="1"/>
    <col min="6" max="6" width="7.21875" bestFit="1" customWidth="1"/>
    <col min="7" max="7" width="6.5546875" bestFit="1" customWidth="1"/>
    <col min="8" max="8" width="8" bestFit="1" customWidth="1"/>
    <col min="11" max="11" width="31.44140625" bestFit="1" customWidth="1"/>
    <col min="12" max="12" width="8.44140625" bestFit="1" customWidth="1"/>
    <col min="13" max="14" width="12" bestFit="1" customWidth="1"/>
    <col min="15" max="15" width="7.77734375" customWidth="1"/>
    <col min="17" max="17" width="23" bestFit="1" customWidth="1"/>
    <col min="18" max="18" width="8.44140625" bestFit="1" customWidth="1"/>
    <col min="19" max="19" width="7.77734375" customWidth="1"/>
    <col min="20" max="20" width="8.6640625" customWidth="1"/>
  </cols>
  <sheetData>
    <row r="1" spans="2:20" x14ac:dyDescent="0.3">
      <c r="F1" s="1" t="s">
        <v>9</v>
      </c>
      <c r="G1" s="1" t="s">
        <v>10</v>
      </c>
      <c r="H1" s="1" t="s">
        <v>12</v>
      </c>
      <c r="L1" s="1" t="s">
        <v>17</v>
      </c>
      <c r="M1" s="1" t="s">
        <v>16</v>
      </c>
      <c r="N1" s="1" t="s">
        <v>15</v>
      </c>
      <c r="O1" s="1" t="s">
        <v>12</v>
      </c>
      <c r="Q1" s="1" t="s">
        <v>29</v>
      </c>
      <c r="R1" s="1" t="s">
        <v>17</v>
      </c>
      <c r="S1" s="1" t="s">
        <v>16</v>
      </c>
      <c r="T1" s="1" t="s">
        <v>15</v>
      </c>
    </row>
    <row r="2" spans="2:20" x14ac:dyDescent="0.3">
      <c r="B2" t="s">
        <v>0</v>
      </c>
      <c r="C2">
        <v>1350000</v>
      </c>
      <c r="K2" t="s">
        <v>40</v>
      </c>
      <c r="L2">
        <v>2000</v>
      </c>
      <c r="M2">
        <v>5000</v>
      </c>
      <c r="N2">
        <v>3000</v>
      </c>
      <c r="O2">
        <f>SUM(L2:N2)</f>
        <v>10000</v>
      </c>
    </row>
    <row r="3" spans="2:20" x14ac:dyDescent="0.3">
      <c r="B3" t="s">
        <v>1</v>
      </c>
      <c r="C3">
        <v>945000</v>
      </c>
      <c r="E3" s="2" t="s">
        <v>14</v>
      </c>
      <c r="F3" s="3">
        <f>945000-59600</f>
        <v>885400</v>
      </c>
      <c r="G3" s="3"/>
      <c r="H3" s="3">
        <f>SUM(F3:G3)</f>
        <v>885400</v>
      </c>
      <c r="Q3" t="s">
        <v>30</v>
      </c>
      <c r="R3">
        <f>2.7*L4</f>
        <v>8.1000000000000014</v>
      </c>
      <c r="S3">
        <f>0.95*M4</f>
        <v>1.0640000000000001</v>
      </c>
      <c r="T3">
        <f>N4*N5</f>
        <v>1.0714285714285714</v>
      </c>
    </row>
    <row r="4" spans="2:20" x14ac:dyDescent="0.3">
      <c r="B4" t="s">
        <v>2</v>
      </c>
      <c r="C4">
        <f>C2-C3</f>
        <v>405000</v>
      </c>
      <c r="E4" t="s">
        <v>13</v>
      </c>
      <c r="F4">
        <v>2000</v>
      </c>
      <c r="H4">
        <f t="shared" ref="H3:H4" si="0">SUM(F4:G4)</f>
        <v>2000</v>
      </c>
      <c r="K4" t="s">
        <v>21</v>
      </c>
      <c r="L4" s="4">
        <v>3</v>
      </c>
      <c r="M4" s="4">
        <v>1.1200000000000001</v>
      </c>
      <c r="N4" s="4">
        <v>1.1000000000000001</v>
      </c>
      <c r="Q4" t="s">
        <v>31</v>
      </c>
      <c r="T4">
        <f>1.15*N4</f>
        <v>1.2649999999999999</v>
      </c>
    </row>
    <row r="5" spans="2:20" x14ac:dyDescent="0.3">
      <c r="K5" t="s">
        <v>22</v>
      </c>
      <c r="L5" s="4">
        <v>2.7</v>
      </c>
      <c r="M5" s="4">
        <v>0.95</v>
      </c>
      <c r="N5" s="5">
        <f>3.75/3.85</f>
        <v>0.97402597402597402</v>
      </c>
      <c r="Q5" t="s">
        <v>32</v>
      </c>
      <c r="R5">
        <f>0.25</f>
        <v>0.25</v>
      </c>
      <c r="S5">
        <v>0.09</v>
      </c>
    </row>
    <row r="6" spans="2:20" x14ac:dyDescent="0.3">
      <c r="B6" t="s">
        <v>3</v>
      </c>
      <c r="C6">
        <v>11280</v>
      </c>
      <c r="E6" t="s">
        <v>3</v>
      </c>
      <c r="F6">
        <f>4700*0.8*12</f>
        <v>45120</v>
      </c>
      <c r="G6">
        <f>4700*0.2*12</f>
        <v>11280</v>
      </c>
      <c r="H6">
        <f>SUM(F6:G6)</f>
        <v>56400</v>
      </c>
      <c r="K6" t="s">
        <v>23</v>
      </c>
      <c r="L6">
        <v>0.25</v>
      </c>
      <c r="M6">
        <v>0.09</v>
      </c>
      <c r="Q6" s="6" t="s">
        <v>33</v>
      </c>
      <c r="R6" s="1">
        <f>SUM(R3:R5)</f>
        <v>8.3500000000000014</v>
      </c>
      <c r="S6" s="1">
        <f>SUM(S3:S5)</f>
        <v>1.1540000000000001</v>
      </c>
      <c r="T6" s="1">
        <f>SUM(T3:T5)</f>
        <v>2.3364285714285713</v>
      </c>
    </row>
    <row r="7" spans="2:20" x14ac:dyDescent="0.3">
      <c r="B7" t="s">
        <v>4</v>
      </c>
      <c r="C7">
        <v>3120</v>
      </c>
      <c r="E7" t="s">
        <v>11</v>
      </c>
      <c r="F7">
        <f>1300*0.8*12</f>
        <v>12480</v>
      </c>
      <c r="G7">
        <f>1300*0.2*12</f>
        <v>3120</v>
      </c>
      <c r="H7">
        <f>SUM(F7:G7)</f>
        <v>15600</v>
      </c>
      <c r="K7" t="s">
        <v>25</v>
      </c>
      <c r="N7">
        <f>1.15*N4</f>
        <v>1.2649999999999999</v>
      </c>
    </row>
    <row r="8" spans="2:20" x14ac:dyDescent="0.3">
      <c r="B8" t="s">
        <v>5</v>
      </c>
      <c r="C8">
        <v>1800</v>
      </c>
      <c r="E8" t="s">
        <v>5</v>
      </c>
      <c r="G8">
        <f>150*12</f>
        <v>1800</v>
      </c>
      <c r="H8">
        <f>SUM(F8:G8)</f>
        <v>1800</v>
      </c>
      <c r="K8" t="s">
        <v>24</v>
      </c>
      <c r="N8">
        <f>4000/N4</f>
        <v>3636.363636363636</v>
      </c>
      <c r="O8" s="8"/>
      <c r="Q8" t="s">
        <v>34</v>
      </c>
      <c r="T8">
        <f>(8/N8)*20</f>
        <v>4.4000000000000004E-2</v>
      </c>
    </row>
    <row r="9" spans="2:20" x14ac:dyDescent="0.3">
      <c r="B9" t="s">
        <v>6</v>
      </c>
      <c r="C9">
        <v>60000</v>
      </c>
      <c r="E9" t="s">
        <v>6</v>
      </c>
      <c r="G9">
        <v>60000</v>
      </c>
      <c r="H9">
        <f>SUM(F9:G9)</f>
        <v>60000</v>
      </c>
      <c r="K9" t="s">
        <v>26</v>
      </c>
      <c r="L9">
        <f>4500/L4</f>
        <v>1500</v>
      </c>
      <c r="M9">
        <f>4500/M4</f>
        <v>4017.8571428571427</v>
      </c>
      <c r="N9">
        <f t="shared" ref="M9:N9" si="1">4500/N4</f>
        <v>4090.9090909090905</v>
      </c>
      <c r="O9" s="9"/>
      <c r="Q9" t="s">
        <v>35</v>
      </c>
      <c r="R9">
        <f>(8/L9)*15</f>
        <v>0.08</v>
      </c>
      <c r="S9">
        <f>(8/M9)*15</f>
        <v>2.9866666666666666E-2</v>
      </c>
      <c r="T9">
        <f>(8/N9)*15</f>
        <v>2.9333333333333336E-2</v>
      </c>
    </row>
    <row r="10" spans="2:20" x14ac:dyDescent="0.3">
      <c r="B10" t="s">
        <v>7</v>
      </c>
      <c r="C10">
        <v>18600</v>
      </c>
      <c r="E10" t="s">
        <v>7</v>
      </c>
      <c r="G10">
        <v>18600</v>
      </c>
      <c r="H10">
        <f>SUM(F10:G10)</f>
        <v>18600</v>
      </c>
      <c r="K10" t="s">
        <v>27</v>
      </c>
      <c r="L10">
        <v>21</v>
      </c>
      <c r="M10">
        <v>96</v>
      </c>
      <c r="N10">
        <v>140</v>
      </c>
      <c r="O10" s="8"/>
      <c r="Q10" t="s">
        <v>36</v>
      </c>
      <c r="R10">
        <f>L17*15</f>
        <v>5.7142857142857135</v>
      </c>
      <c r="S10">
        <f>M17*15</f>
        <v>1.25</v>
      </c>
      <c r="T10">
        <f>N17*15</f>
        <v>0.8571428571428571</v>
      </c>
    </row>
    <row r="11" spans="2:20" x14ac:dyDescent="0.3">
      <c r="E11" s="1" t="s">
        <v>19</v>
      </c>
      <c r="F11" s="1">
        <f>SUM(F4:F10)</f>
        <v>59600</v>
      </c>
      <c r="G11" s="1">
        <f>SUM(G4:G10)</f>
        <v>94800</v>
      </c>
      <c r="H11" s="1">
        <f>SUM(H4:H10)</f>
        <v>154400</v>
      </c>
      <c r="K11" t="s">
        <v>28</v>
      </c>
      <c r="L11">
        <f>L10</f>
        <v>21</v>
      </c>
      <c r="M11">
        <f t="shared" ref="M11:N11" si="2">M10</f>
        <v>96</v>
      </c>
      <c r="N11">
        <f t="shared" si="2"/>
        <v>140</v>
      </c>
      <c r="O11" s="8"/>
      <c r="Q11" t="s">
        <v>37</v>
      </c>
      <c r="R11">
        <f>L17*15</f>
        <v>5.7142857142857135</v>
      </c>
      <c r="S11">
        <f>M17*15</f>
        <v>1.25</v>
      </c>
      <c r="T11">
        <f>N17*15</f>
        <v>0.8571428571428571</v>
      </c>
    </row>
    <row r="12" spans="2:20" x14ac:dyDescent="0.3">
      <c r="E12" s="1" t="s">
        <v>20</v>
      </c>
      <c r="H12" s="1">
        <f>H3+H11</f>
        <v>1039800</v>
      </c>
      <c r="Q12" s="6" t="s">
        <v>38</v>
      </c>
      <c r="R12" s="1">
        <f t="shared" ref="R12:S12" si="3">SUM(R8:R11)</f>
        <v>11.508571428571427</v>
      </c>
      <c r="S12" s="1">
        <f t="shared" si="3"/>
        <v>2.5298666666666669</v>
      </c>
      <c r="T12" s="1">
        <f>SUM(T8:T11)</f>
        <v>1.7876190476190477</v>
      </c>
    </row>
    <row r="13" spans="2:20" x14ac:dyDescent="0.3">
      <c r="B13" s="1" t="s">
        <v>8</v>
      </c>
      <c r="C13" s="1">
        <f>C4-SUM(C6:C10)</f>
        <v>310200</v>
      </c>
      <c r="E13" s="1" t="s">
        <v>8</v>
      </c>
      <c r="H13" s="1">
        <f>C2-H12</f>
        <v>310200</v>
      </c>
      <c r="K13" s="1" t="s">
        <v>39</v>
      </c>
    </row>
    <row r="14" spans="2:20" x14ac:dyDescent="0.3">
      <c r="Q14" s="1" t="s">
        <v>18</v>
      </c>
      <c r="R14">
        <f>R6+R12</f>
        <v>19.85857142857143</v>
      </c>
      <c r="S14">
        <f t="shared" ref="S14:T14" si="4">S6+S12</f>
        <v>3.6838666666666668</v>
      </c>
      <c r="T14">
        <f t="shared" si="4"/>
        <v>4.1240476190476194</v>
      </c>
    </row>
    <row r="15" spans="2:20" x14ac:dyDescent="0.3">
      <c r="E15" s="1" t="s">
        <v>48</v>
      </c>
      <c r="H15" s="7">
        <f>H13/C2</f>
        <v>0.22977777777777778</v>
      </c>
      <c r="K15" t="s">
        <v>42</v>
      </c>
      <c r="O15">
        <f>1320*12</f>
        <v>15840</v>
      </c>
      <c r="Q15" t="s">
        <v>44</v>
      </c>
      <c r="R15" s="3">
        <f>L18</f>
        <v>1.4333814333814332</v>
      </c>
      <c r="S15" s="3">
        <f>M18</f>
        <v>0.31355218855218853</v>
      </c>
      <c r="T15" s="3">
        <f>N18</f>
        <v>0.21500721500721501</v>
      </c>
    </row>
    <row r="16" spans="2:20" x14ac:dyDescent="0.3">
      <c r="K16" t="s">
        <v>43</v>
      </c>
      <c r="O16">
        <f>F11/O15</f>
        <v>3.7626262626262625</v>
      </c>
      <c r="Q16" s="1" t="s">
        <v>47</v>
      </c>
      <c r="R16" s="1">
        <f>SUM(R14:R15)</f>
        <v>21.291952861952865</v>
      </c>
      <c r="S16" s="1">
        <f t="shared" ref="S16:T16" si="5">SUM(S14:S15)</f>
        <v>3.9974188552188554</v>
      </c>
      <c r="T16" s="1">
        <f t="shared" si="5"/>
        <v>4.3390548340548341</v>
      </c>
    </row>
    <row r="17" spans="11:20" x14ac:dyDescent="0.3">
      <c r="K17" t="s">
        <v>41</v>
      </c>
      <c r="L17">
        <f>8/L10</f>
        <v>0.38095238095238093</v>
      </c>
      <c r="M17">
        <f>8/M10</f>
        <v>8.3333333333333329E-2</v>
      </c>
      <c r="N17">
        <f>8/N10</f>
        <v>5.7142857142857141E-2</v>
      </c>
      <c r="Q17" t="s">
        <v>46</v>
      </c>
      <c r="R17" s="3">
        <f>L24</f>
        <v>2.2799422799422797</v>
      </c>
      <c r="S17" s="3">
        <f>M24</f>
        <v>0.4987373737373737</v>
      </c>
      <c r="T17" s="3">
        <f>N24</f>
        <v>0.34199134199134196</v>
      </c>
    </row>
    <row r="18" spans="11:20" x14ac:dyDescent="0.3">
      <c r="K18" s="1" t="s">
        <v>44</v>
      </c>
      <c r="L18" s="1">
        <f>$O$16*L17</f>
        <v>1.4333814333814332</v>
      </c>
      <c r="M18" s="1">
        <f>$O$16*M17</f>
        <v>0.31355218855218853</v>
      </c>
      <c r="N18" s="1">
        <f t="shared" ref="M18:N18" si="6">$O$16*N17</f>
        <v>0.21500721500721501</v>
      </c>
      <c r="Q18" s="1" t="s">
        <v>20</v>
      </c>
      <c r="R18" s="1">
        <f>R16+R17</f>
        <v>23.571895141895144</v>
      </c>
      <c r="S18" s="1">
        <f t="shared" ref="S18:T18" si="7">S16+S17</f>
        <v>4.4961562289562291</v>
      </c>
      <c r="T18" s="1">
        <f t="shared" si="7"/>
        <v>4.6810461760461761</v>
      </c>
    </row>
    <row r="20" spans="11:20" x14ac:dyDescent="0.3">
      <c r="Q20" s="1"/>
    </row>
    <row r="21" spans="11:20" x14ac:dyDescent="0.3">
      <c r="K21" t="s">
        <v>42</v>
      </c>
      <c r="O21">
        <f>1320*12</f>
        <v>15840</v>
      </c>
    </row>
    <row r="22" spans="11:20" x14ac:dyDescent="0.3">
      <c r="K22" t="s">
        <v>45</v>
      </c>
      <c r="O22">
        <f>G11/O21</f>
        <v>5.9848484848484844</v>
      </c>
    </row>
    <row r="23" spans="11:20" x14ac:dyDescent="0.3">
      <c r="K23" t="s">
        <v>41</v>
      </c>
      <c r="L23">
        <f>8/L10</f>
        <v>0.38095238095238093</v>
      </c>
      <c r="M23">
        <f>8/M10</f>
        <v>8.3333333333333329E-2</v>
      </c>
      <c r="N23">
        <f>8/N10</f>
        <v>5.7142857142857141E-2</v>
      </c>
    </row>
    <row r="24" spans="11:20" x14ac:dyDescent="0.3">
      <c r="K24" s="1" t="s">
        <v>46</v>
      </c>
      <c r="L24" s="1">
        <f>$O$22*L23</f>
        <v>2.2799422799422797</v>
      </c>
      <c r="M24" s="1">
        <f>$O$22*M23</f>
        <v>0.4987373737373737</v>
      </c>
      <c r="N24" s="1">
        <f>$O$22*N23</f>
        <v>0.34199134199134196</v>
      </c>
    </row>
    <row r="27" spans="11:20" x14ac:dyDescent="0.3">
      <c r="M27" s="20" t="s">
        <v>97</v>
      </c>
      <c r="N27" s="20">
        <f>59600/(12*10000)</f>
        <v>0.49666666666666665</v>
      </c>
      <c r="O27" s="19"/>
    </row>
    <row r="30" spans="11:20" x14ac:dyDescent="0.3">
      <c r="K30" t="s">
        <v>98</v>
      </c>
      <c r="L30">
        <f>L10/8</f>
        <v>2.625</v>
      </c>
      <c r="M30">
        <f>M10/8</f>
        <v>12</v>
      </c>
      <c r="N30">
        <f>N10/8</f>
        <v>17.5</v>
      </c>
    </row>
    <row r="31" spans="11:20" x14ac:dyDescent="0.3">
      <c r="K31" t="s">
        <v>99</v>
      </c>
      <c r="L31">
        <f>L2/L30</f>
        <v>761.90476190476193</v>
      </c>
      <c r="M31">
        <f>M2/M30</f>
        <v>416.66666666666669</v>
      </c>
      <c r="N31">
        <f>N2/N30</f>
        <v>171.42857142857142</v>
      </c>
      <c r="O31">
        <f>N31+M31+L31</f>
        <v>1350</v>
      </c>
    </row>
    <row r="35" spans="10:14" x14ac:dyDescent="0.3">
      <c r="K35" s="1"/>
      <c r="L35" s="1"/>
      <c r="M35" s="1"/>
      <c r="N35" s="1"/>
    </row>
    <row r="37" spans="10:14" x14ac:dyDescent="0.3">
      <c r="J37" s="1"/>
    </row>
    <row r="39" spans="10:14" x14ac:dyDescent="0.3">
      <c r="K39" s="1"/>
      <c r="M39" s="1"/>
    </row>
    <row r="42" spans="10:14" x14ac:dyDescent="0.3">
      <c r="K42" s="1"/>
      <c r="N42" s="1"/>
    </row>
    <row r="45" spans="10:14" x14ac:dyDescent="0.3">
      <c r="K45" s="1"/>
      <c r="N45" s="1"/>
    </row>
    <row r="47" spans="10:14" x14ac:dyDescent="0.3">
      <c r="J47" s="1"/>
    </row>
    <row r="49" spans="11:14" x14ac:dyDescent="0.3">
      <c r="K49" s="1"/>
      <c r="M49" s="1"/>
    </row>
    <row r="52" spans="11:14" x14ac:dyDescent="0.3">
      <c r="K52" s="1"/>
      <c r="N52" s="1"/>
    </row>
    <row r="55" spans="11:14" x14ac:dyDescent="0.3">
      <c r="K55" s="1"/>
      <c r="N55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664CD-FDAC-4E6D-80BA-3A6FA23B319D}">
  <dimension ref="B3:H9"/>
  <sheetViews>
    <sheetView workbookViewId="0">
      <selection activeCell="H5" sqref="H5"/>
    </sheetView>
  </sheetViews>
  <sheetFormatPr defaultRowHeight="14.4" x14ac:dyDescent="0.3"/>
  <sheetData>
    <row r="3" spans="2:8" x14ac:dyDescent="0.3">
      <c r="B3" t="s">
        <v>82</v>
      </c>
      <c r="C3" t="s">
        <v>83</v>
      </c>
      <c r="F3" t="s">
        <v>90</v>
      </c>
      <c r="H3" t="s">
        <v>91</v>
      </c>
    </row>
    <row r="4" spans="2:8" x14ac:dyDescent="0.3">
      <c r="C4" t="s">
        <v>84</v>
      </c>
      <c r="H4" t="s">
        <v>92</v>
      </c>
    </row>
    <row r="5" spans="2:8" x14ac:dyDescent="0.3">
      <c r="C5" t="s">
        <v>85</v>
      </c>
    </row>
    <row r="7" spans="2:8" x14ac:dyDescent="0.3">
      <c r="B7" t="s">
        <v>86</v>
      </c>
      <c r="C7" t="s">
        <v>87</v>
      </c>
    </row>
    <row r="8" spans="2:8" x14ac:dyDescent="0.3">
      <c r="C8" t="s">
        <v>88</v>
      </c>
    </row>
    <row r="9" spans="2:8" x14ac:dyDescent="0.3">
      <c r="C9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2-22</vt:lpstr>
      <vt:lpstr>Existing Cost Structure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Accounting</dc:subject>
  <dc:creator>Vishwanathan Iyer</dc:creator>
  <cp:lastModifiedBy>Aniket Das</cp:lastModifiedBy>
  <dcterms:created xsi:type="dcterms:W3CDTF">2012-09-17T08:53:35Z</dcterms:created>
  <dcterms:modified xsi:type="dcterms:W3CDTF">2025-07-15T20:29:25Z</dcterms:modified>
</cp:coreProperties>
</file>