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chra\Downloads\"/>
    </mc:Choice>
  </mc:AlternateContent>
  <xr:revisionPtr revIDLastSave="0" documentId="13_ncr:1_{593ACA4C-06C0-41A1-93D6-2C98DAEA13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D-ABC" sheetId="4" r:id="rId1"/>
    <sheet name="Sheet1" sheetId="5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4" l="1"/>
  <c r="J68" i="4"/>
  <c r="K68" i="4"/>
  <c r="H68" i="4"/>
  <c r="I67" i="4"/>
  <c r="J67" i="4"/>
  <c r="K67" i="4"/>
  <c r="H67" i="4"/>
  <c r="I66" i="4"/>
  <c r="J66" i="4"/>
  <c r="K66" i="4"/>
  <c r="H66" i="4"/>
  <c r="K65" i="4"/>
  <c r="I65" i="4"/>
  <c r="J65" i="4"/>
  <c r="H65" i="4"/>
  <c r="I32" i="4"/>
  <c r="E51" i="4"/>
  <c r="B48" i="4"/>
  <c r="E48" i="4" s="1"/>
  <c r="D48" i="4"/>
  <c r="C48" i="4"/>
  <c r="J34" i="4"/>
  <c r="I38" i="4"/>
  <c r="J38" i="4"/>
  <c r="H38" i="4"/>
  <c r="K38" i="4" s="1"/>
  <c r="I44" i="4"/>
  <c r="K44" i="4" s="1"/>
  <c r="J44" i="4"/>
  <c r="H44" i="4"/>
  <c r="I42" i="4"/>
  <c r="J42" i="4"/>
  <c r="H42" i="4"/>
  <c r="K42" i="4" s="1"/>
  <c r="C25" i="4"/>
  <c r="D25" i="4"/>
  <c r="B25" i="4"/>
  <c r="D47" i="4" l="1"/>
  <c r="B43" i="4"/>
  <c r="K3" i="4" l="1"/>
  <c r="I3" i="4"/>
  <c r="G3" i="4"/>
  <c r="B11" i="4" l="1"/>
  <c r="B12" i="4"/>
  <c r="B10" i="4"/>
  <c r="J30" i="4" s="1"/>
  <c r="B9" i="4"/>
  <c r="B8" i="4"/>
  <c r="C4" i="4"/>
  <c r="D32" i="4"/>
  <c r="D33" i="4" s="1"/>
  <c r="D35" i="4" s="1"/>
  <c r="C32" i="4"/>
  <c r="C33" i="4" s="1"/>
  <c r="C37" i="4" s="1"/>
  <c r="B32" i="4"/>
  <c r="B33" i="4" s="1"/>
  <c r="C47" i="4"/>
  <c r="B47" i="4"/>
  <c r="E46" i="4"/>
  <c r="E45" i="4"/>
  <c r="D22" i="4"/>
  <c r="C22" i="4"/>
  <c r="B22" i="4"/>
  <c r="E44" i="4"/>
  <c r="D21" i="4"/>
  <c r="C21" i="4"/>
  <c r="B21" i="4"/>
  <c r="D43" i="4"/>
  <c r="C43" i="4"/>
  <c r="E42" i="4"/>
  <c r="D15" i="4"/>
  <c r="D3" i="4"/>
  <c r="C50" i="4" l="1"/>
  <c r="H34" i="4"/>
  <c r="F37" i="4"/>
  <c r="H51" i="4"/>
  <c r="B50" i="4"/>
  <c r="H52" i="4"/>
  <c r="I52" i="4"/>
  <c r="J52" i="4"/>
  <c r="D50" i="4"/>
  <c r="I30" i="4"/>
  <c r="J51" i="4" s="1"/>
  <c r="I51" i="4"/>
  <c r="L30" i="4"/>
  <c r="K30" i="4"/>
  <c r="B23" i="4"/>
  <c r="M4" i="4"/>
  <c r="C6" i="4"/>
  <c r="C13" i="4"/>
  <c r="L18" i="4"/>
  <c r="J18" i="4"/>
  <c r="L17" i="4"/>
  <c r="J17" i="4"/>
  <c r="E43" i="4"/>
  <c r="H30" i="4" s="1"/>
  <c r="D23" i="4"/>
  <c r="C23" i="4"/>
  <c r="E47" i="4"/>
  <c r="H32" i="4" s="1"/>
  <c r="B37" i="4"/>
  <c r="B35" i="4"/>
  <c r="D37" i="4"/>
  <c r="C35" i="4"/>
  <c r="H50" i="4" l="1"/>
  <c r="J50" i="4"/>
  <c r="I50" i="4"/>
  <c r="I64" i="4"/>
  <c r="H64" i="4"/>
  <c r="K64" i="4" s="1"/>
  <c r="J64" i="4"/>
  <c r="H35" i="4"/>
  <c r="L31" i="4"/>
  <c r="J60" i="4" s="1"/>
  <c r="D53" i="4"/>
  <c r="J43" i="4" s="1"/>
  <c r="B53" i="4"/>
  <c r="H43" i="4" s="1"/>
  <c r="C53" i="4"/>
  <c r="I43" i="4" s="1"/>
  <c r="E50" i="4"/>
  <c r="K51" i="4"/>
  <c r="H53" i="4"/>
  <c r="K53" i="4" s="1"/>
  <c r="I53" i="4"/>
  <c r="J53" i="4"/>
  <c r="K52" i="4"/>
  <c r="J54" i="4"/>
  <c r="H54" i="4"/>
  <c r="I54" i="4"/>
  <c r="G8" i="4"/>
  <c r="J15" i="4"/>
  <c r="M6" i="4"/>
  <c r="L15" i="4"/>
  <c r="C14" i="4"/>
  <c r="C16" i="4" s="1"/>
  <c r="D16" i="4" s="1"/>
  <c r="H16" i="4"/>
  <c r="D6" i="4"/>
  <c r="M17" i="4"/>
  <c r="H17" i="4"/>
  <c r="J16" i="4"/>
  <c r="L16" i="4"/>
  <c r="M18" i="4"/>
  <c r="H18" i="4"/>
  <c r="D13" i="4"/>
  <c r="K8" i="4"/>
  <c r="I60" i="4" l="1"/>
  <c r="I55" i="4"/>
  <c r="H46" i="4"/>
  <c r="H45" i="4"/>
  <c r="K43" i="4"/>
  <c r="J55" i="4"/>
  <c r="J69" i="4" s="1"/>
  <c r="J70" i="4" s="1"/>
  <c r="J71" i="4" s="1"/>
  <c r="K54" i="4"/>
  <c r="H60" i="4"/>
  <c r="K60" i="4" s="1"/>
  <c r="I46" i="4"/>
  <c r="I45" i="4"/>
  <c r="I69" i="4"/>
  <c r="I70" i="4" s="1"/>
  <c r="I71" i="4" s="1"/>
  <c r="J45" i="4"/>
  <c r="J46" i="4"/>
  <c r="H55" i="4"/>
  <c r="H69" i="4" s="1"/>
  <c r="H70" i="4" s="1"/>
  <c r="H71" i="4" s="1"/>
  <c r="K50" i="4"/>
  <c r="L14" i="4"/>
  <c r="L19" i="4" s="1"/>
  <c r="L21" i="4" s="1"/>
  <c r="L22" i="4" s="1"/>
  <c r="I19" i="4"/>
  <c r="I21" i="4" s="1"/>
  <c r="D14" i="4"/>
  <c r="I8" i="4"/>
  <c r="M8" i="4" s="1"/>
  <c r="K9" i="4"/>
  <c r="M5" i="4"/>
  <c r="H9" i="4"/>
  <c r="H10" i="4" s="1"/>
  <c r="M16" i="4"/>
  <c r="M15" i="4"/>
  <c r="H15" i="4"/>
  <c r="L9" i="4"/>
  <c r="L10" i="4" s="1"/>
  <c r="J47" i="4" l="1"/>
  <c r="J48" i="4" s="1"/>
  <c r="J61" i="4"/>
  <c r="J62" i="4" s="1"/>
  <c r="J57" i="4"/>
  <c r="J58" i="4" s="1"/>
  <c r="I57" i="4"/>
  <c r="I58" i="4" s="1"/>
  <c r="I61" i="4"/>
  <c r="I62" i="4" s="1"/>
  <c r="I47" i="4"/>
  <c r="I48" i="4" s="1"/>
  <c r="K46" i="4"/>
  <c r="H57" i="4"/>
  <c r="H61" i="4"/>
  <c r="H62" i="4" s="1"/>
  <c r="H47" i="4"/>
  <c r="K45" i="4"/>
  <c r="K61" i="4" s="1"/>
  <c r="K55" i="4"/>
  <c r="M14" i="4"/>
  <c r="M19" i="4" s="1"/>
  <c r="H14" i="4"/>
  <c r="H19" i="4" s="1"/>
  <c r="H21" i="4" s="1"/>
  <c r="H22" i="4" s="1"/>
  <c r="G19" i="4"/>
  <c r="G21" i="4" s="1"/>
  <c r="J14" i="4"/>
  <c r="J19" i="4" s="1"/>
  <c r="J21" i="4" s="1"/>
  <c r="J22" i="4" s="1"/>
  <c r="J9" i="4"/>
  <c r="J10" i="4" s="1"/>
  <c r="I9" i="4"/>
  <c r="K19" i="4"/>
  <c r="K21" i="4" s="1"/>
  <c r="G9" i="4"/>
  <c r="M7" i="4"/>
  <c r="K57" i="4" l="1"/>
  <c r="K58" i="4" s="1"/>
  <c r="H58" i="4"/>
  <c r="K47" i="4"/>
  <c r="K48" i="4" s="1"/>
  <c r="H48" i="4"/>
  <c r="M21" i="4"/>
  <c r="M22" i="4" s="1"/>
  <c r="M9" i="4"/>
  <c r="M1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Bijesh Singha</author>
  </authors>
  <commentList>
    <comment ref="H30" authorId="0" shapeId="0" xr:uid="{2A588F58-DA17-497A-845E-6D7E4E53CF07}">
      <text>
        <r>
          <rPr>
            <b/>
            <sz val="9"/>
            <color indexed="81"/>
            <rFont val="Tahoma"/>
            <family val="2"/>
          </rPr>
          <t>Bijesh Singha:</t>
        </r>
        <r>
          <rPr>
            <sz val="9"/>
            <color indexed="81"/>
            <rFont val="Tahoma"/>
            <family val="2"/>
          </rPr>
          <t xml:space="preserve">
OH absoption rate
Cost driver:Machine hours
for Machine related exp</t>
        </r>
      </text>
    </comment>
    <comment ref="I30" authorId="0" shapeId="0" xr:uid="{6DD68504-6B5C-420F-8859-3669239A2E2F}">
      <text>
        <r>
          <rPr>
            <b/>
            <sz val="9"/>
            <color indexed="81"/>
            <rFont val="Tahoma"/>
            <family val="2"/>
          </rPr>
          <t>Bijesh Singha:</t>
        </r>
        <r>
          <rPr>
            <sz val="9"/>
            <color indexed="81"/>
            <rFont val="Tahoma"/>
            <family val="2"/>
          </rPr>
          <t xml:space="preserve">
OH absorption rate 
cost driver: Setup labor hrs
for setup labor cost</t>
        </r>
      </text>
    </comment>
    <comment ref="J30" authorId="0" shapeId="0" xr:uid="{F804C38D-3AD0-49C4-93C2-DC066DE7231A}">
      <text>
        <r>
          <rPr>
            <b/>
            <sz val="9"/>
            <color indexed="81"/>
            <rFont val="Tahoma"/>
            <family val="2"/>
          </rPr>
          <t>Bijesh Singha:</t>
        </r>
        <r>
          <rPr>
            <sz val="9"/>
            <color indexed="81"/>
            <rFont val="Tahoma"/>
            <family val="2"/>
          </rPr>
          <t xml:space="preserve">
OH absorption rate
cost driver: Batch * component
for RPC</t>
        </r>
      </text>
    </comment>
    <comment ref="H32" authorId="0" shapeId="0" xr:uid="{BF154BAD-B31C-4601-B7DA-D9D518E5430A}">
      <text>
        <r>
          <rPr>
            <b/>
            <sz val="9"/>
            <color indexed="81"/>
            <rFont val="Tahoma"/>
            <family val="2"/>
          </rPr>
          <t>Bijesh Singha:</t>
        </r>
        <r>
          <rPr>
            <sz val="9"/>
            <color indexed="81"/>
            <rFont val="Tahoma"/>
            <family val="2"/>
          </rPr>
          <t xml:space="preserve">
Machine, RPC, Engg expense OH absorption rate
cost driver: machine hours</t>
        </r>
      </text>
    </comment>
    <comment ref="H35" authorId="0" shapeId="0" xr:uid="{C319CCF4-A22E-4FB5-966B-7193DB60A8F6}">
      <text>
        <r>
          <rPr>
            <b/>
            <sz val="9"/>
            <color indexed="81"/>
            <rFont val="Tahoma"/>
            <family val="2"/>
          </rPr>
          <t>Bijesh Singha:</t>
        </r>
        <r>
          <rPr>
            <sz val="9"/>
            <color indexed="81"/>
            <rFont val="Tahoma"/>
            <family val="2"/>
          </rPr>
          <t xml:space="preserve">
actual OH absorption rate 
cost driver: direct labour hours
for Mfg OH expense</t>
        </r>
      </text>
    </comment>
  </commentList>
</comments>
</file>

<file path=xl/sharedStrings.xml><?xml version="1.0" encoding="utf-8"?>
<sst xmlns="http://schemas.openxmlformats.org/spreadsheetml/2006/main" count="123" uniqueCount="92">
  <si>
    <t>EXHIBIT 1</t>
  </si>
  <si>
    <t>direct labor</t>
  </si>
  <si>
    <t>Manufacturing overheads</t>
  </si>
  <si>
    <t>machine related expenses</t>
  </si>
  <si>
    <t>setup labor</t>
  </si>
  <si>
    <t>receiving and production control</t>
  </si>
  <si>
    <t>engineering</t>
  </si>
  <si>
    <t>packing and shipping</t>
  </si>
  <si>
    <t>total maufactoring overheads</t>
  </si>
  <si>
    <t>gross margin</t>
  </si>
  <si>
    <t>general sales and admin expenses</t>
  </si>
  <si>
    <t>operating income pretax</t>
  </si>
  <si>
    <t>direct material expense</t>
  </si>
  <si>
    <t>EXHIBIT 2</t>
  </si>
  <si>
    <t>Valves</t>
  </si>
  <si>
    <t>Pumps</t>
  </si>
  <si>
    <t>Flow Controller</t>
  </si>
  <si>
    <t>EXHIBIT 3</t>
  </si>
  <si>
    <t>Material per unit</t>
  </si>
  <si>
    <t>Material cost per unit</t>
  </si>
  <si>
    <t>Direct labor per unit</t>
  </si>
  <si>
    <t>Machine hours per unit</t>
  </si>
  <si>
    <t>components</t>
  </si>
  <si>
    <t>EXHIBIT 4</t>
  </si>
  <si>
    <t>Machine hours</t>
  </si>
  <si>
    <t>Production runs</t>
  </si>
  <si>
    <t>number of shipments</t>
  </si>
  <si>
    <t>Hours of engineering work</t>
  </si>
  <si>
    <t>Total</t>
  </si>
  <si>
    <t>Production (units)</t>
  </si>
  <si>
    <t>Batch * Components</t>
  </si>
  <si>
    <t>Contribution</t>
  </si>
  <si>
    <t>Sales</t>
  </si>
  <si>
    <t>Current Month</t>
  </si>
  <si>
    <t>Per Unit</t>
  </si>
  <si>
    <t>Actual Gross Margin</t>
  </si>
  <si>
    <t>Planned Gross Margin</t>
  </si>
  <si>
    <t>Actual selling price</t>
  </si>
  <si>
    <t>Target selling price</t>
  </si>
  <si>
    <t>Standard unit cost</t>
  </si>
  <si>
    <t>Direct labor cost</t>
  </si>
  <si>
    <t>Direct mateial cost</t>
  </si>
  <si>
    <t>Manufacturing overhead(185%)</t>
  </si>
  <si>
    <t>Setup hours per run</t>
  </si>
  <si>
    <t>Direct labor $/unit @32.5/DL HOUR</t>
  </si>
  <si>
    <t>Setup Hours (labor &amp; machines)</t>
  </si>
  <si>
    <t>Flow Controllers</t>
  </si>
  <si>
    <t xml:space="preserve">Total </t>
  </si>
  <si>
    <t>Overall</t>
  </si>
  <si>
    <t>Units</t>
  </si>
  <si>
    <t>Gross Margin</t>
  </si>
  <si>
    <t>Gross Margin (%)</t>
  </si>
  <si>
    <t>Total Mach Hours</t>
  </si>
  <si>
    <t>Total Mfg Overheads</t>
  </si>
  <si>
    <t>As per Traditional ABC</t>
  </si>
  <si>
    <t>As per Existing Policy</t>
  </si>
  <si>
    <t>Engineering</t>
  </si>
  <si>
    <t>Labour Hours</t>
  </si>
  <si>
    <t>Direct Labour</t>
  </si>
  <si>
    <t>Direct Material</t>
  </si>
  <si>
    <t>Manufacturing Overhead</t>
  </si>
  <si>
    <t>Manufacturing overhead</t>
  </si>
  <si>
    <t>Packaging and Shipping</t>
  </si>
  <si>
    <t>Machine related expenses</t>
  </si>
  <si>
    <t>Setup labour</t>
  </si>
  <si>
    <t>Receiving and Production Control</t>
  </si>
  <si>
    <t xml:space="preserve">Competition market </t>
  </si>
  <si>
    <t xml:space="preserve">homogenous </t>
  </si>
  <si>
    <t>Commoditize</t>
  </si>
  <si>
    <t>Monopolistic</t>
  </si>
  <si>
    <t>Differentiated product</t>
  </si>
  <si>
    <t xml:space="preserve">Non differentiated </t>
  </si>
  <si>
    <t>for every 1$ 1.85 $ of labour cost is loaded</t>
  </si>
  <si>
    <t>Direct material cost</t>
  </si>
  <si>
    <t>contribution</t>
  </si>
  <si>
    <t>Mfg OH</t>
  </si>
  <si>
    <t>standard DLC</t>
  </si>
  <si>
    <t>Gross margin</t>
  </si>
  <si>
    <t>it is both labor and machine</t>
  </si>
  <si>
    <t>Driver for packaging and shipment</t>
  </si>
  <si>
    <t>number of shipment and packages per shipment</t>
  </si>
  <si>
    <t>expected value of perfect information</t>
  </si>
  <si>
    <t>managerial parlance</t>
  </si>
  <si>
    <t>Total OH (based on mach hr)</t>
  </si>
  <si>
    <t>Mfg, Eng, RCP</t>
  </si>
  <si>
    <t>for a bigger customer give discount</t>
  </si>
  <si>
    <t>Process costing</t>
  </si>
  <si>
    <t>where ever we see WIP</t>
  </si>
  <si>
    <t>setup hours, Packaging and ship</t>
  </si>
  <si>
    <t>Full cost</t>
  </si>
  <si>
    <t>Full cost per unit</t>
  </si>
  <si>
    <t>Selling price @35%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</si>
</sst>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5">
    <xf numFmtId="0" fontId="0" fillId="0" borderId="0" xfId="0"/>
    <xf numFmtId="10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9" fontId="0" fillId="0" borderId="0" xfId="1" applyFont="1"/>
    <xf numFmtId="2" fontId="0" fillId="0" borderId="0" xfId="0" applyNumberFormat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2" fontId="0" fillId="3" borderId="0" xfId="0" applyNumberFormat="1" applyFill="1"/>
    <xf numFmtId="1" fontId="0" fillId="3" borderId="0" xfId="0" applyNumberFormat="1" applyFill="1"/>
    <xf numFmtId="1" fontId="1" fillId="3" borderId="0" xfId="0" applyNumberFormat="1" applyFont="1" applyFill="1"/>
    <xf numFmtId="2" fontId="1" fillId="3" borderId="0" xfId="0" applyNumberFormat="1" applyFont="1" applyFill="1"/>
    <xf numFmtId="9" fontId="1" fillId="3" borderId="0" xfId="1" applyFont="1" applyFill="1"/>
    <xf numFmtId="10" fontId="1" fillId="3" borderId="0" xfId="1" applyNumberFormat="1" applyFont="1" applyFill="1"/>
    <xf numFmtId="0" fontId="1" fillId="4" borderId="0" xfId="0" applyFont="1" applyFill="1"/>
    <xf numFmtId="0" fontId="0" fillId="4" borderId="0" xfId="0" applyFill="1"/>
    <xf numFmtId="2" fontId="0" fillId="4" borderId="0" xfId="0" applyNumberFormat="1" applyFill="1"/>
    <xf numFmtId="1" fontId="0" fillId="4" borderId="0" xfId="0" applyNumberFormat="1" applyFill="1"/>
    <xf numFmtId="0" fontId="3" fillId="4" borderId="0" xfId="0" applyFont="1" applyFill="1"/>
    <xf numFmtId="1" fontId="3" fillId="4" borderId="0" xfId="0" applyNumberFormat="1" applyFont="1" applyFill="1"/>
    <xf numFmtId="2" fontId="3" fillId="4" borderId="0" xfId="0" applyNumberFormat="1" applyFont="1" applyFill="1"/>
    <xf numFmtId="1" fontId="1" fillId="4" borderId="0" xfId="0" applyNumberFormat="1" applyFont="1" applyFill="1"/>
    <xf numFmtId="2" fontId="1" fillId="4" borderId="0" xfId="0" applyNumberFormat="1" applyFont="1" applyFill="1"/>
    <xf numFmtId="9" fontId="1" fillId="4" borderId="0" xfId="1" applyFont="1" applyFill="1"/>
    <xf numFmtId="10" fontId="1" fillId="4" borderId="0" xfId="1" applyNumberFormat="1" applyFont="1" applyFill="1"/>
    <xf numFmtId="0" fontId="0" fillId="4" borderId="0" xfId="0" applyFill="1" applyAlignment="1">
      <alignment horizontal="center"/>
    </xf>
    <xf numFmtId="9" fontId="0" fillId="0" borderId="0" xfId="0" applyNumberFormat="1"/>
    <xf numFmtId="10" fontId="0" fillId="0" borderId="0" xfId="1" applyNumberFormat="1" applyFont="1"/>
    <xf numFmtId="43" fontId="0" fillId="0" borderId="0" xfId="2" applyFont="1"/>
    <xf numFmtId="43" fontId="0" fillId="0" borderId="2" xfId="2" applyFont="1" applyBorder="1"/>
    <xf numFmtId="43" fontId="0" fillId="0" borderId="0" xfId="2" applyFont="1" applyFill="1" applyBorder="1"/>
    <xf numFmtId="43" fontId="0" fillId="0" borderId="0" xfId="0" applyNumberFormat="1"/>
    <xf numFmtId="0" fontId="0" fillId="0" borderId="0" xfId="0" applyAlignment="1">
      <alignment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topLeftCell="A31" zoomScale="85" zoomScaleNormal="85" workbookViewId="0">
      <selection activeCell="N55" sqref="N55"/>
    </sheetView>
  </sheetViews>
  <sheetFormatPr defaultRowHeight="15" x14ac:dyDescent="0.25"/>
  <cols>
    <col min="1" max="1" width="31.85546875" bestFit="1" customWidth="1"/>
    <col min="4" max="4" width="14.85546875" bestFit="1" customWidth="1"/>
    <col min="6" max="6" width="29.28515625" bestFit="1" customWidth="1"/>
    <col min="7" max="7" width="28.42578125" customWidth="1"/>
    <col min="8" max="8" width="22.140625" customWidth="1"/>
    <col min="9" max="9" width="18.42578125" bestFit="1" customWidth="1"/>
    <col min="10" max="10" width="16.7109375" bestFit="1" customWidth="1"/>
    <col min="11" max="11" width="15.7109375" bestFit="1" customWidth="1"/>
  </cols>
  <sheetData>
    <row r="1" spans="1:13" x14ac:dyDescent="0.25">
      <c r="F1" s="16" t="s">
        <v>55</v>
      </c>
      <c r="G1" s="17" t="s">
        <v>14</v>
      </c>
      <c r="H1" s="17"/>
      <c r="I1" s="17" t="s">
        <v>15</v>
      </c>
      <c r="J1" s="17"/>
      <c r="K1" s="17" t="s">
        <v>46</v>
      </c>
      <c r="L1" s="17"/>
      <c r="M1" s="17" t="s">
        <v>48</v>
      </c>
    </row>
    <row r="2" spans="1:13" x14ac:dyDescent="0.25">
      <c r="A2" s="2" t="s">
        <v>0</v>
      </c>
      <c r="F2" s="17"/>
      <c r="G2" s="17" t="s">
        <v>47</v>
      </c>
      <c r="H2" s="17" t="s">
        <v>34</v>
      </c>
      <c r="I2" s="17" t="s">
        <v>47</v>
      </c>
      <c r="J2" s="17" t="s">
        <v>34</v>
      </c>
      <c r="K2" s="17" t="s">
        <v>47</v>
      </c>
      <c r="L2" s="17" t="s">
        <v>34</v>
      </c>
      <c r="M2" s="17"/>
    </row>
    <row r="3" spans="1:13" x14ac:dyDescent="0.25">
      <c r="A3" t="s">
        <v>32</v>
      </c>
      <c r="C3">
        <v>1847500</v>
      </c>
      <c r="D3" s="5">
        <f>C3/$C$3</f>
        <v>1</v>
      </c>
      <c r="F3" s="17" t="s">
        <v>49</v>
      </c>
      <c r="G3" s="27">
        <f>B42</f>
        <v>7500</v>
      </c>
      <c r="H3" s="27"/>
      <c r="I3" s="27">
        <f>C42</f>
        <v>12500</v>
      </c>
      <c r="J3" s="27"/>
      <c r="K3" s="27">
        <f>D42</f>
        <v>4000</v>
      </c>
      <c r="L3" s="17"/>
      <c r="M3" s="17"/>
    </row>
    <row r="4" spans="1:13" x14ac:dyDescent="0.25">
      <c r="A4" t="s">
        <v>1</v>
      </c>
      <c r="C4">
        <f>3900*45*2</f>
        <v>351000</v>
      </c>
      <c r="F4" s="17" t="s">
        <v>32</v>
      </c>
      <c r="G4" s="17"/>
      <c r="H4" s="18"/>
      <c r="I4" s="17"/>
      <c r="J4" s="18"/>
      <c r="K4" s="17"/>
      <c r="L4" s="18"/>
      <c r="M4" s="17">
        <f>SUM(G4,I4,K4)</f>
        <v>0</v>
      </c>
    </row>
    <row r="5" spans="1:13" x14ac:dyDescent="0.25">
      <c r="A5" t="s">
        <v>12</v>
      </c>
      <c r="C5">
        <v>458000</v>
      </c>
      <c r="F5" s="17" t="s">
        <v>58</v>
      </c>
      <c r="G5" s="19"/>
      <c r="H5" s="18"/>
      <c r="I5" s="19"/>
      <c r="J5" s="18"/>
      <c r="K5" s="19"/>
      <c r="L5" s="18"/>
      <c r="M5" s="17">
        <f>SUM(G5,I5,K5)</f>
        <v>0</v>
      </c>
    </row>
    <row r="6" spans="1:13" x14ac:dyDescent="0.25">
      <c r="A6" t="s">
        <v>31</v>
      </c>
      <c r="C6" s="4">
        <f>C3-SUM(C4:C5)</f>
        <v>1038500</v>
      </c>
      <c r="D6" s="5">
        <f>C6/$C$3</f>
        <v>0.56211096075778078</v>
      </c>
      <c r="F6" s="17" t="s">
        <v>59</v>
      </c>
      <c r="G6" s="19"/>
      <c r="H6" s="18"/>
      <c r="I6" s="19"/>
      <c r="J6" s="18"/>
      <c r="K6" s="19"/>
      <c r="L6" s="18"/>
      <c r="M6" s="17">
        <f>SUM(G6,I6,K6)</f>
        <v>0</v>
      </c>
    </row>
    <row r="7" spans="1:13" x14ac:dyDescent="0.25">
      <c r="A7" t="s">
        <v>2</v>
      </c>
      <c r="F7" s="17" t="s">
        <v>31</v>
      </c>
      <c r="G7" s="19"/>
      <c r="H7" s="18"/>
      <c r="I7" s="19"/>
      <c r="J7" s="18"/>
      <c r="K7" s="19"/>
      <c r="L7" s="18"/>
      <c r="M7" s="17">
        <f>SUM(G7,I7,K7)</f>
        <v>0</v>
      </c>
    </row>
    <row r="8" spans="1:13" x14ac:dyDescent="0.25">
      <c r="A8" t="s">
        <v>3</v>
      </c>
      <c r="B8">
        <f>62*5400</f>
        <v>334800</v>
      </c>
      <c r="F8" s="20" t="s">
        <v>60</v>
      </c>
      <c r="G8" s="21">
        <f>G$3*H8</f>
        <v>0</v>
      </c>
      <c r="H8" s="22">
        <v>0</v>
      </c>
      <c r="I8" s="21">
        <f>I$3*J8</f>
        <v>0</v>
      </c>
      <c r="J8" s="22">
        <v>0</v>
      </c>
      <c r="K8" s="21">
        <f>K$3*L8</f>
        <v>0</v>
      </c>
      <c r="L8" s="22">
        <v>0</v>
      </c>
      <c r="M8" s="20">
        <f>SUM(G8,I8,K8)</f>
        <v>0</v>
      </c>
    </row>
    <row r="9" spans="1:13" x14ac:dyDescent="0.25">
      <c r="A9" t="s">
        <v>4</v>
      </c>
      <c r="B9">
        <f>3900*15*2</f>
        <v>117000</v>
      </c>
      <c r="F9" s="16" t="s">
        <v>50</v>
      </c>
      <c r="G9" s="23">
        <f>G7-G8</f>
        <v>0</v>
      </c>
      <c r="H9" s="24">
        <f t="shared" ref="H9:M9" si="0">H7-H8</f>
        <v>0</v>
      </c>
      <c r="I9" s="23">
        <f t="shared" si="0"/>
        <v>0</v>
      </c>
      <c r="J9" s="24">
        <f t="shared" si="0"/>
        <v>0</v>
      </c>
      <c r="K9" s="23">
        <f t="shared" si="0"/>
        <v>0</v>
      </c>
      <c r="L9" s="24">
        <f t="shared" si="0"/>
        <v>0</v>
      </c>
      <c r="M9" s="23">
        <f t="shared" si="0"/>
        <v>0</v>
      </c>
    </row>
    <row r="10" spans="1:13" x14ac:dyDescent="0.25">
      <c r="A10" t="s">
        <v>5</v>
      </c>
      <c r="B10">
        <f>3900*4</f>
        <v>15600</v>
      </c>
      <c r="F10" s="16" t="s">
        <v>51</v>
      </c>
      <c r="G10" s="25"/>
      <c r="H10" s="26" t="e">
        <f>H9/H$4</f>
        <v>#DIV/0!</v>
      </c>
      <c r="I10" s="25"/>
      <c r="J10" s="26" t="e">
        <f>J9/J$4</f>
        <v>#DIV/0!</v>
      </c>
      <c r="K10" s="25"/>
      <c r="L10" s="26" t="e">
        <f>L9/L$4</f>
        <v>#DIV/0!</v>
      </c>
      <c r="M10" s="26" t="e">
        <f>M9/M$4</f>
        <v>#DIV/0!</v>
      </c>
    </row>
    <row r="11" spans="1:13" x14ac:dyDescent="0.25">
      <c r="A11" t="s">
        <v>6</v>
      </c>
      <c r="B11">
        <f>9750*8</f>
        <v>78000</v>
      </c>
    </row>
    <row r="12" spans="1:13" x14ac:dyDescent="0.25">
      <c r="A12" t="s">
        <v>7</v>
      </c>
      <c r="B12">
        <f>3900*28</f>
        <v>109200</v>
      </c>
      <c r="F12" s="8" t="s">
        <v>54</v>
      </c>
      <c r="G12" s="9"/>
      <c r="H12" s="9"/>
      <c r="I12" s="9"/>
      <c r="J12" s="9"/>
      <c r="K12" s="9"/>
      <c r="L12" s="9"/>
      <c r="M12" s="9"/>
    </row>
    <row r="13" spans="1:13" x14ac:dyDescent="0.25">
      <c r="A13" t="s">
        <v>8</v>
      </c>
      <c r="C13" s="3">
        <f>SUM(B8:B12)</f>
        <v>654600</v>
      </c>
      <c r="D13" s="5">
        <f>C13/$C$3</f>
        <v>0.35431664411366715</v>
      </c>
      <c r="F13" s="9" t="s">
        <v>61</v>
      </c>
      <c r="G13" s="9"/>
      <c r="H13" s="9"/>
      <c r="I13" s="9"/>
      <c r="J13" s="9"/>
      <c r="K13" s="9"/>
      <c r="L13" s="9"/>
      <c r="M13" s="9"/>
    </row>
    <row r="14" spans="1:13" x14ac:dyDescent="0.25">
      <c r="A14" t="s">
        <v>9</v>
      </c>
      <c r="C14">
        <f>C6-C13</f>
        <v>383900</v>
      </c>
      <c r="D14" s="5">
        <f>C14/$C$3</f>
        <v>0.20779431664411366</v>
      </c>
      <c r="F14" s="9" t="s">
        <v>63</v>
      </c>
      <c r="G14" s="11"/>
      <c r="H14" s="10">
        <f>G14/G$3</f>
        <v>0</v>
      </c>
      <c r="I14" s="11"/>
      <c r="J14" s="10">
        <f>I14/I$3</f>
        <v>0</v>
      </c>
      <c r="K14" s="11"/>
      <c r="L14" s="10">
        <f>K14/K$3</f>
        <v>0</v>
      </c>
      <c r="M14" s="9">
        <f>SUM(G14,I14,K14)</f>
        <v>0</v>
      </c>
    </row>
    <row r="15" spans="1:13" x14ac:dyDescent="0.25">
      <c r="A15" t="s">
        <v>10</v>
      </c>
      <c r="C15">
        <v>350000</v>
      </c>
      <c r="D15" s="5">
        <f>C15/$C$3</f>
        <v>0.18944519621109607</v>
      </c>
      <c r="F15" s="9" t="s">
        <v>64</v>
      </c>
      <c r="G15" s="11"/>
      <c r="H15" s="10">
        <f>G15/G$3</f>
        <v>0</v>
      </c>
      <c r="I15" s="11"/>
      <c r="J15" s="10">
        <f>I15/I$3</f>
        <v>0</v>
      </c>
      <c r="K15" s="11"/>
      <c r="L15" s="10">
        <f>K15/K$3</f>
        <v>0</v>
      </c>
      <c r="M15" s="9">
        <f>SUM(G15,I15,K15)</f>
        <v>0</v>
      </c>
    </row>
    <row r="16" spans="1:13" x14ac:dyDescent="0.25">
      <c r="A16" t="s">
        <v>11</v>
      </c>
      <c r="C16">
        <f>C14-C15</f>
        <v>33900</v>
      </c>
      <c r="D16" s="1">
        <f>ROUND(C16/C3,4)</f>
        <v>1.83E-2</v>
      </c>
      <c r="F16" s="9" t="s">
        <v>65</v>
      </c>
      <c r="G16" s="11"/>
      <c r="H16" s="10">
        <f>G16/G$3</f>
        <v>0</v>
      </c>
      <c r="I16" s="11"/>
      <c r="J16" s="10">
        <f>I16/I$3</f>
        <v>0</v>
      </c>
      <c r="K16" s="11"/>
      <c r="L16" s="10">
        <f>K16/K$3</f>
        <v>0</v>
      </c>
      <c r="M16" s="9">
        <f>SUM(G16,I16,K16)</f>
        <v>0</v>
      </c>
    </row>
    <row r="17" spans="1:13" x14ac:dyDescent="0.25">
      <c r="F17" s="9" t="s">
        <v>56</v>
      </c>
      <c r="G17" s="9"/>
      <c r="H17" s="10">
        <f t="shared" ref="H17:J18" si="1">G17/G$3</f>
        <v>0</v>
      </c>
      <c r="I17" s="9"/>
      <c r="J17" s="10">
        <f t="shared" si="1"/>
        <v>0</v>
      </c>
      <c r="K17" s="9"/>
      <c r="L17" s="10">
        <f t="shared" ref="L17" si="2">K17/K$3</f>
        <v>0</v>
      </c>
      <c r="M17" s="9">
        <f>SUM(G17,I17,K17)</f>
        <v>0</v>
      </c>
    </row>
    <row r="18" spans="1:13" x14ac:dyDescent="0.25">
      <c r="A18" s="2" t="s">
        <v>17</v>
      </c>
      <c r="B18" s="2" t="s">
        <v>14</v>
      </c>
      <c r="C18" s="2" t="s">
        <v>15</v>
      </c>
      <c r="D18" s="2" t="s">
        <v>16</v>
      </c>
      <c r="F18" s="9" t="s">
        <v>62</v>
      </c>
      <c r="G18" s="11"/>
      <c r="H18" s="10">
        <f t="shared" si="1"/>
        <v>0</v>
      </c>
      <c r="I18" s="11"/>
      <c r="J18" s="10">
        <f t="shared" si="1"/>
        <v>0</v>
      </c>
      <c r="K18" s="11"/>
      <c r="L18" s="10">
        <f t="shared" ref="L18" si="3">K18/K$3</f>
        <v>0</v>
      </c>
      <c r="M18" s="9">
        <f>SUM(G18,I18,K18)</f>
        <v>0</v>
      </c>
    </row>
    <row r="19" spans="1:13" x14ac:dyDescent="0.25">
      <c r="A19" t="s">
        <v>18</v>
      </c>
      <c r="B19" s="2"/>
      <c r="C19" s="2"/>
      <c r="D19" s="2"/>
      <c r="F19" s="8" t="s">
        <v>53</v>
      </c>
      <c r="G19" s="12">
        <f t="shared" ref="G19:M19" si="4">SUM(G14:G18)</f>
        <v>0</v>
      </c>
      <c r="H19" s="13">
        <f t="shared" si="4"/>
        <v>0</v>
      </c>
      <c r="I19" s="12">
        <f t="shared" si="4"/>
        <v>0</v>
      </c>
      <c r="J19" s="13">
        <f t="shared" si="4"/>
        <v>0</v>
      </c>
      <c r="K19" s="12">
        <f t="shared" si="4"/>
        <v>0</v>
      </c>
      <c r="L19" s="13">
        <f t="shared" si="4"/>
        <v>0</v>
      </c>
      <c r="M19" s="12">
        <f t="shared" si="4"/>
        <v>0</v>
      </c>
    </row>
    <row r="20" spans="1:13" x14ac:dyDescent="0.25">
      <c r="A20" t="s">
        <v>22</v>
      </c>
      <c r="B20">
        <v>4</v>
      </c>
      <c r="C20">
        <v>5</v>
      </c>
      <c r="D20">
        <v>10</v>
      </c>
      <c r="F20" s="9"/>
      <c r="G20" s="9"/>
      <c r="H20" s="9"/>
      <c r="I20" s="9"/>
      <c r="J20" s="9"/>
      <c r="K20" s="9"/>
      <c r="L20" s="9"/>
      <c r="M20" s="9"/>
    </row>
    <row r="21" spans="1:13" x14ac:dyDescent="0.25">
      <c r="B21">
        <f>2*2</f>
        <v>4</v>
      </c>
      <c r="C21">
        <f>3*2</f>
        <v>6</v>
      </c>
      <c r="D21">
        <f>4*1+5*2</f>
        <v>14</v>
      </c>
      <c r="F21" s="9" t="s">
        <v>50</v>
      </c>
      <c r="G21" s="11">
        <f t="shared" ref="G21:M21" si="5">G7-G19</f>
        <v>0</v>
      </c>
      <c r="H21" s="10">
        <f t="shared" si="5"/>
        <v>0</v>
      </c>
      <c r="I21" s="11">
        <f t="shared" si="5"/>
        <v>0</v>
      </c>
      <c r="J21" s="10">
        <f t="shared" si="5"/>
        <v>0</v>
      </c>
      <c r="K21" s="11">
        <f t="shared" si="5"/>
        <v>0</v>
      </c>
      <c r="L21" s="10">
        <f t="shared" si="5"/>
        <v>0</v>
      </c>
      <c r="M21" s="11">
        <f t="shared" si="5"/>
        <v>0</v>
      </c>
    </row>
    <row r="22" spans="1:13" x14ac:dyDescent="0.25">
      <c r="B22">
        <f>2*6</f>
        <v>12</v>
      </c>
      <c r="C22">
        <f>2*7</f>
        <v>14</v>
      </c>
      <c r="D22">
        <f>1*8</f>
        <v>8</v>
      </c>
      <c r="F22" s="8" t="s">
        <v>51</v>
      </c>
      <c r="G22" s="14"/>
      <c r="H22" s="15" t="e">
        <f>H21/H$4</f>
        <v>#DIV/0!</v>
      </c>
      <c r="I22" s="14"/>
      <c r="J22" s="15" t="e">
        <f>J21/J$4</f>
        <v>#DIV/0!</v>
      </c>
      <c r="K22" s="14"/>
      <c r="L22" s="15" t="e">
        <f>L21/L$4</f>
        <v>#DIV/0!</v>
      </c>
      <c r="M22" s="15" t="e">
        <f>M21/M$4</f>
        <v>#DIV/0!</v>
      </c>
    </row>
    <row r="23" spans="1:13" x14ac:dyDescent="0.25">
      <c r="A23" t="s">
        <v>19</v>
      </c>
      <c r="B23">
        <f>SUM(B21:B22)</f>
        <v>16</v>
      </c>
      <c r="C23">
        <f>SUM(C21:C22)</f>
        <v>20</v>
      </c>
      <c r="D23">
        <f>SUM(D21:D22)</f>
        <v>22</v>
      </c>
    </row>
    <row r="24" spans="1:13" x14ac:dyDescent="0.25">
      <c r="A24" t="s">
        <v>20</v>
      </c>
      <c r="B24">
        <v>0.38</v>
      </c>
      <c r="C24">
        <v>0.5</v>
      </c>
      <c r="D24">
        <v>0.4</v>
      </c>
    </row>
    <row r="25" spans="1:13" x14ac:dyDescent="0.25">
      <c r="A25" t="s">
        <v>44</v>
      </c>
      <c r="B25" s="6">
        <f>B24*32.5</f>
        <v>12.35</v>
      </c>
      <c r="C25" s="6">
        <f t="shared" ref="C25:D25" si="6">C24*32.5</f>
        <v>16.25</v>
      </c>
      <c r="D25" s="6">
        <f t="shared" si="6"/>
        <v>13</v>
      </c>
      <c r="F25" t="s">
        <v>66</v>
      </c>
      <c r="G25" t="s">
        <v>67</v>
      </c>
    </row>
    <row r="26" spans="1:13" x14ac:dyDescent="0.25">
      <c r="A26" t="s">
        <v>43</v>
      </c>
      <c r="B26">
        <v>5</v>
      </c>
      <c r="C26">
        <v>6</v>
      </c>
      <c r="D26">
        <v>12</v>
      </c>
      <c r="G26" t="s">
        <v>68</v>
      </c>
      <c r="I26" t="s">
        <v>71</v>
      </c>
    </row>
    <row r="27" spans="1:13" x14ac:dyDescent="0.25">
      <c r="A27" t="s">
        <v>21</v>
      </c>
      <c r="B27">
        <v>0.5</v>
      </c>
      <c r="C27">
        <v>0.5</v>
      </c>
      <c r="D27">
        <v>0.3</v>
      </c>
    </row>
    <row r="28" spans="1:13" x14ac:dyDescent="0.25">
      <c r="F28" t="s">
        <v>69</v>
      </c>
      <c r="G28" t="s">
        <v>70</v>
      </c>
    </row>
    <row r="29" spans="1:13" x14ac:dyDescent="0.25">
      <c r="A29" s="2" t="s">
        <v>13</v>
      </c>
      <c r="B29" s="2" t="s">
        <v>14</v>
      </c>
      <c r="C29" s="2" t="s">
        <v>15</v>
      </c>
      <c r="D29" s="2" t="s">
        <v>16</v>
      </c>
    </row>
    <row r="30" spans="1:13" x14ac:dyDescent="0.25">
      <c r="A30" t="s">
        <v>40</v>
      </c>
      <c r="B30">
        <v>12.35</v>
      </c>
      <c r="C30">
        <v>16.25</v>
      </c>
      <c r="D30">
        <v>13</v>
      </c>
      <c r="F30" s="28">
        <v>1.85</v>
      </c>
      <c r="G30" t="s">
        <v>72</v>
      </c>
      <c r="H30">
        <f>B8/(E43+E47)</f>
        <v>22.931506849315067</v>
      </c>
      <c r="I30">
        <f>B9/E47</f>
        <v>34.411764705882355</v>
      </c>
      <c r="J30">
        <f>B10/E48</f>
        <v>5.5123674911660778</v>
      </c>
      <c r="K30">
        <f>B11/$E$46</f>
        <v>86.666666666666671</v>
      </c>
      <c r="L30">
        <f>B12/E45</f>
        <v>321.1764705882353</v>
      </c>
    </row>
    <row r="31" spans="1:13" x14ac:dyDescent="0.25">
      <c r="A31" t="s">
        <v>41</v>
      </c>
      <c r="B31">
        <v>16</v>
      </c>
      <c r="C31">
        <v>20</v>
      </c>
      <c r="D31">
        <v>22</v>
      </c>
      <c r="L31">
        <f>C13/E50</f>
        <v>44.835616438356162</v>
      </c>
    </row>
    <row r="32" spans="1:13" x14ac:dyDescent="0.25">
      <c r="A32" t="s">
        <v>42</v>
      </c>
      <c r="B32" s="3">
        <f>ROUND(1.85*B30,2)</f>
        <v>22.85</v>
      </c>
      <c r="C32" s="3">
        <f>ROUND(1.85*C30,2)</f>
        <v>30.06</v>
      </c>
      <c r="D32" s="3">
        <f>ROUND(1.85*D30,2)</f>
        <v>24.05</v>
      </c>
      <c r="H32">
        <f>SUM(B8,B10:B11)/SUM(E43,E47)</f>
        <v>29.342465753424658</v>
      </c>
      <c r="I32">
        <f>SUM(B12,B9)/E47</f>
        <v>66.529411764705884</v>
      </c>
    </row>
    <row r="33" spans="1:11" x14ac:dyDescent="0.25">
      <c r="A33" t="s">
        <v>39</v>
      </c>
      <c r="B33">
        <f>SUM(B30:B32)</f>
        <v>51.2</v>
      </c>
      <c r="C33">
        <f>SUM(C30:C32)</f>
        <v>66.31</v>
      </c>
      <c r="D33">
        <f>SUM(D30:D32)</f>
        <v>59.05</v>
      </c>
    </row>
    <row r="34" spans="1:11" x14ac:dyDescent="0.25">
      <c r="A34" t="s">
        <v>38</v>
      </c>
      <c r="B34">
        <v>78.77</v>
      </c>
      <c r="C34">
        <v>102.02</v>
      </c>
      <c r="D34">
        <v>90.85</v>
      </c>
      <c r="G34" t="s">
        <v>40</v>
      </c>
      <c r="H34">
        <f>C4</f>
        <v>351000</v>
      </c>
      <c r="J34">
        <f>62*5400</f>
        <v>334800</v>
      </c>
    </row>
    <row r="35" spans="1:11" x14ac:dyDescent="0.25">
      <c r="A35" t="s">
        <v>36</v>
      </c>
      <c r="B35" s="1">
        <f>(B34-B33)/B34</f>
        <v>0.35000634759426169</v>
      </c>
      <c r="C35" s="1">
        <f>(C34-C33)/C34</f>
        <v>0.35002940599882371</v>
      </c>
      <c r="D35" s="1">
        <f>(D34-D33)/D34</f>
        <v>0.35002751788662628</v>
      </c>
      <c r="G35" t="s">
        <v>75</v>
      </c>
      <c r="H35" s="29">
        <f>C13/H34</f>
        <v>1.864957264957265</v>
      </c>
    </row>
    <row r="36" spans="1:11" x14ac:dyDescent="0.25">
      <c r="A36" t="s">
        <v>37</v>
      </c>
      <c r="B36" s="6">
        <v>79</v>
      </c>
      <c r="C36" s="6">
        <v>70</v>
      </c>
      <c r="D36" s="6">
        <v>95</v>
      </c>
    </row>
    <row r="37" spans="1:11" x14ac:dyDescent="0.25">
      <c r="A37" t="s">
        <v>35</v>
      </c>
      <c r="B37" s="1">
        <f>ROUND((B36-B33)/B36,3)</f>
        <v>0.35199999999999998</v>
      </c>
      <c r="C37" s="1">
        <f>ROUND((C36-C33)/C36,3)</f>
        <v>5.2999999999999999E-2</v>
      </c>
      <c r="D37" s="1">
        <f>ROUND((D36-D33)/D36,3)</f>
        <v>0.378</v>
      </c>
      <c r="F37">
        <f>C4/10700</f>
        <v>32.803738317757009</v>
      </c>
    </row>
    <row r="38" spans="1:11" x14ac:dyDescent="0.25">
      <c r="G38" t="s">
        <v>76</v>
      </c>
      <c r="H38">
        <f>B30*B42</f>
        <v>92625</v>
      </c>
      <c r="I38">
        <f t="shared" ref="I38:J38" si="7">C30*C42</f>
        <v>203125</v>
      </c>
      <c r="J38">
        <f t="shared" si="7"/>
        <v>52000</v>
      </c>
      <c r="K38">
        <f>SUM(H38:J38)</f>
        <v>347750</v>
      </c>
    </row>
    <row r="40" spans="1:11" x14ac:dyDescent="0.25">
      <c r="B40" s="2" t="s">
        <v>33</v>
      </c>
    </row>
    <row r="41" spans="1:11" x14ac:dyDescent="0.25">
      <c r="A41" s="2" t="s">
        <v>23</v>
      </c>
      <c r="B41" s="2" t="s">
        <v>14</v>
      </c>
      <c r="C41" s="2" t="s">
        <v>15</v>
      </c>
      <c r="D41" s="2" t="s">
        <v>16</v>
      </c>
      <c r="E41" s="2" t="s">
        <v>28</v>
      </c>
      <c r="H41" s="2" t="s">
        <v>14</v>
      </c>
      <c r="I41" s="2" t="s">
        <v>15</v>
      </c>
      <c r="J41" s="2" t="s">
        <v>16</v>
      </c>
    </row>
    <row r="42" spans="1:11" x14ac:dyDescent="0.25">
      <c r="A42" t="s">
        <v>29</v>
      </c>
      <c r="B42">
        <v>7500</v>
      </c>
      <c r="C42">
        <v>12500</v>
      </c>
      <c r="D42">
        <v>4000</v>
      </c>
      <c r="E42">
        <f t="shared" ref="E42:E48" si="8">SUM(B42:D42)</f>
        <v>24000</v>
      </c>
      <c r="G42" t="s">
        <v>32</v>
      </c>
      <c r="H42" s="30">
        <f>B36*B42</f>
        <v>592500</v>
      </c>
      <c r="I42" s="30">
        <f t="shared" ref="I42:J42" si="9">C36*C42</f>
        <v>875000</v>
      </c>
      <c r="J42" s="30">
        <f t="shared" si="9"/>
        <v>380000</v>
      </c>
      <c r="K42" s="30">
        <f>SUM(H42:J42)</f>
        <v>1847500</v>
      </c>
    </row>
    <row r="43" spans="1:11" x14ac:dyDescent="0.25">
      <c r="A43" t="s">
        <v>24</v>
      </c>
      <c r="B43">
        <f>B42*B27</f>
        <v>3750</v>
      </c>
      <c r="C43">
        <f>C42*C27</f>
        <v>6250</v>
      </c>
      <c r="D43">
        <f>D42*D27</f>
        <v>1200</v>
      </c>
      <c r="E43">
        <f t="shared" si="8"/>
        <v>11200</v>
      </c>
      <c r="G43" t="s">
        <v>40</v>
      </c>
      <c r="H43" s="30">
        <f>B53*B42</f>
        <v>93490.654205607469</v>
      </c>
      <c r="I43" s="30">
        <f t="shared" ref="I43:J43" si="10">C53*C42</f>
        <v>205023.36448598132</v>
      </c>
      <c r="J43" s="30">
        <f t="shared" si="10"/>
        <v>52485.981308411217</v>
      </c>
      <c r="K43" s="30">
        <f>SUM(H43:J43)</f>
        <v>351000</v>
      </c>
    </row>
    <row r="44" spans="1:11" x14ac:dyDescent="0.25">
      <c r="A44" t="s">
        <v>25</v>
      </c>
      <c r="B44">
        <v>20</v>
      </c>
      <c r="C44">
        <v>100</v>
      </c>
      <c r="D44">
        <v>225</v>
      </c>
      <c r="E44">
        <f t="shared" si="8"/>
        <v>345</v>
      </c>
      <c r="G44" t="s">
        <v>73</v>
      </c>
      <c r="H44" s="30">
        <f>B31*B42</f>
        <v>120000</v>
      </c>
      <c r="I44" s="30">
        <f t="shared" ref="I44:J44" si="11">C31*C42</f>
        <v>250000</v>
      </c>
      <c r="J44" s="30">
        <f t="shared" si="11"/>
        <v>88000</v>
      </c>
      <c r="K44" s="30">
        <f>SUM(H44:J44)</f>
        <v>458000</v>
      </c>
    </row>
    <row r="45" spans="1:11" x14ac:dyDescent="0.25">
      <c r="A45" s="7" t="s">
        <v>26</v>
      </c>
      <c r="B45" s="7">
        <v>40</v>
      </c>
      <c r="C45" s="7">
        <v>100</v>
      </c>
      <c r="D45" s="7">
        <v>200</v>
      </c>
      <c r="E45" s="7">
        <f t="shared" si="8"/>
        <v>340</v>
      </c>
      <c r="G45" t="s">
        <v>74</v>
      </c>
      <c r="H45" s="31">
        <f>H42-SUM(H43:H44)</f>
        <v>379009.34579439252</v>
      </c>
      <c r="I45" s="31">
        <f t="shared" ref="I45:J45" si="12">I42-SUM(I43:I44)</f>
        <v>419976.63551401871</v>
      </c>
      <c r="J45" s="31">
        <f t="shared" si="12"/>
        <v>239514.01869158878</v>
      </c>
      <c r="K45" s="31">
        <f>SUM(H45:J45)</f>
        <v>1038500</v>
      </c>
    </row>
    <row r="46" spans="1:11" x14ac:dyDescent="0.25">
      <c r="A46" s="7" t="s">
        <v>27</v>
      </c>
      <c r="B46" s="7">
        <v>60</v>
      </c>
      <c r="C46" s="7">
        <v>240</v>
      </c>
      <c r="D46" s="7">
        <v>600</v>
      </c>
      <c r="E46" s="7">
        <f t="shared" si="8"/>
        <v>900</v>
      </c>
      <c r="G46" t="s">
        <v>75</v>
      </c>
      <c r="H46" s="30">
        <f>H43*$H$35</f>
        <v>174356.07476635513</v>
      </c>
      <c r="I46" s="30">
        <f t="shared" ref="I46:J46" si="13">I43*$H$35</f>
        <v>382359.81308411219</v>
      </c>
      <c r="J46" s="30">
        <f t="shared" si="13"/>
        <v>97884.11214953271</v>
      </c>
      <c r="K46" s="32">
        <f>SUM(H46:J46)</f>
        <v>654600</v>
      </c>
    </row>
    <row r="47" spans="1:11" x14ac:dyDescent="0.25">
      <c r="A47" t="s">
        <v>45</v>
      </c>
      <c r="B47">
        <f>B44*B26</f>
        <v>100</v>
      </c>
      <c r="C47">
        <f>C44*C26</f>
        <v>600</v>
      </c>
      <c r="D47">
        <f>D44*D26</f>
        <v>2700</v>
      </c>
      <c r="E47">
        <f t="shared" si="8"/>
        <v>3400</v>
      </c>
      <c r="F47" t="s">
        <v>78</v>
      </c>
      <c r="G47" t="s">
        <v>77</v>
      </c>
      <c r="H47" s="33">
        <f>H45-H46</f>
        <v>204653.27102803739</v>
      </c>
      <c r="I47" s="33">
        <f t="shared" ref="I47:J47" si="14">I45-I46</f>
        <v>37616.822429906519</v>
      </c>
      <c r="J47" s="33">
        <f t="shared" si="14"/>
        <v>141629.90654205607</v>
      </c>
      <c r="K47" s="32">
        <f t="shared" ref="K47" si="15">SUM(H47:J47)</f>
        <v>383900</v>
      </c>
    </row>
    <row r="48" spans="1:11" x14ac:dyDescent="0.25">
      <c r="A48" s="7" t="s">
        <v>30</v>
      </c>
      <c r="B48" s="7">
        <f>B44*4</f>
        <v>80</v>
      </c>
      <c r="C48" s="7">
        <f>C44*5</f>
        <v>500</v>
      </c>
      <c r="D48" s="7">
        <f>D44*10</f>
        <v>2250</v>
      </c>
      <c r="E48" s="7">
        <f t="shared" si="8"/>
        <v>2830</v>
      </c>
      <c r="H48" s="29">
        <f>H47/H42</f>
        <v>0.34540636460428253</v>
      </c>
      <c r="I48" s="29">
        <f t="shared" ref="I48:K48" si="16">I47/I42</f>
        <v>4.2990654205607451E-2</v>
      </c>
      <c r="J48" s="29">
        <f t="shared" si="16"/>
        <v>0.37271028037383175</v>
      </c>
      <c r="K48" s="29">
        <f t="shared" si="16"/>
        <v>0.20779431664411366</v>
      </c>
    </row>
    <row r="49" spans="1:11" x14ac:dyDescent="0.25">
      <c r="A49" t="s">
        <v>57</v>
      </c>
    </row>
    <row r="50" spans="1:11" x14ac:dyDescent="0.25">
      <c r="A50" s="7" t="s">
        <v>52</v>
      </c>
      <c r="B50" s="7">
        <f>B43+B47</f>
        <v>3850</v>
      </c>
      <c r="C50" s="7">
        <f t="shared" ref="C50:D50" si="17">C43+C47</f>
        <v>6850</v>
      </c>
      <c r="D50" s="7">
        <f t="shared" si="17"/>
        <v>3900</v>
      </c>
      <c r="E50" s="7">
        <f>SUM(B50:D50)</f>
        <v>14600</v>
      </c>
      <c r="G50" t="s">
        <v>63</v>
      </c>
      <c r="H50" s="30">
        <f>$H$30*(B43+B47)</f>
        <v>88286.301369863009</v>
      </c>
      <c r="I50" s="30">
        <f t="shared" ref="I50:J50" si="18">$H$30*(C43+C47)</f>
        <v>157080.82191780821</v>
      </c>
      <c r="J50" s="30">
        <f t="shared" si="18"/>
        <v>89432.876712328754</v>
      </c>
      <c r="K50" s="30">
        <f>SUM(H50:J50)</f>
        <v>334800</v>
      </c>
    </row>
    <row r="51" spans="1:11" x14ac:dyDescent="0.25">
      <c r="B51">
        <v>60</v>
      </c>
      <c r="C51">
        <v>240</v>
      </c>
      <c r="D51">
        <v>600</v>
      </c>
      <c r="E51">
        <f>SUM(B51:D51)</f>
        <v>900</v>
      </c>
      <c r="G51" t="s">
        <v>64</v>
      </c>
      <c r="H51" s="30">
        <f>B47*$I$30</f>
        <v>3441.1764705882356</v>
      </c>
      <c r="I51" s="30">
        <f t="shared" ref="I51:J51" si="19">C47*$I$30</f>
        <v>20647.058823529413</v>
      </c>
      <c r="J51" s="30">
        <f t="shared" si="19"/>
        <v>92911.764705882364</v>
      </c>
      <c r="K51" s="30">
        <f>SUM(H51:J51)</f>
        <v>117000.00000000001</v>
      </c>
    </row>
    <row r="52" spans="1:11" x14ac:dyDescent="0.25">
      <c r="G52" t="s">
        <v>65</v>
      </c>
      <c r="H52" s="30">
        <f>$J$30*B48</f>
        <v>440.98939929328623</v>
      </c>
      <c r="I52" s="30">
        <f t="shared" ref="I52:J52" si="20">$J$30*C48</f>
        <v>2756.1837455830391</v>
      </c>
      <c r="J52" s="30">
        <f t="shared" si="20"/>
        <v>12402.826855123674</v>
      </c>
      <c r="K52" s="30">
        <f>SUM(H52:J52)</f>
        <v>15600</v>
      </c>
    </row>
    <row r="53" spans="1:11" x14ac:dyDescent="0.25">
      <c r="B53" s="6">
        <f>B24*$F$37</f>
        <v>12.465420560747663</v>
      </c>
      <c r="C53" s="6">
        <f t="shared" ref="C53:D53" si="21">C24*$F$37</f>
        <v>16.401869158878505</v>
      </c>
      <c r="D53" s="6">
        <f t="shared" si="21"/>
        <v>13.121495327102805</v>
      </c>
      <c r="G53" t="s">
        <v>56</v>
      </c>
      <c r="H53">
        <f>$K$30*B46</f>
        <v>5200</v>
      </c>
      <c r="I53">
        <f t="shared" ref="I53:J53" si="22">$K$30*C46</f>
        <v>20800</v>
      </c>
      <c r="J53">
        <f t="shared" si="22"/>
        <v>52000</v>
      </c>
      <c r="K53" s="30">
        <f t="shared" ref="K53:K54" si="23">SUM(H53:J53)</f>
        <v>78000</v>
      </c>
    </row>
    <row r="54" spans="1:11" x14ac:dyDescent="0.25">
      <c r="G54" t="s">
        <v>62</v>
      </c>
      <c r="H54" s="6">
        <f>B45*$L$30</f>
        <v>12847.058823529413</v>
      </c>
      <c r="I54" s="6">
        <f t="shared" ref="I54:J54" si="24">C45*$L$30</f>
        <v>32117.647058823532</v>
      </c>
      <c r="J54" s="6">
        <f t="shared" si="24"/>
        <v>64235.294117647063</v>
      </c>
      <c r="K54" s="30">
        <f t="shared" si="23"/>
        <v>109200</v>
      </c>
    </row>
    <row r="55" spans="1:11" x14ac:dyDescent="0.25">
      <c r="H55" s="6">
        <f>SUM(H50:H54)</f>
        <v>110215.52606327395</v>
      </c>
      <c r="I55" s="6">
        <f t="shared" ref="I55:J55" si="25">SUM(I50:I54)</f>
        <v>233401.71154574418</v>
      </c>
      <c r="J55" s="6">
        <f t="shared" si="25"/>
        <v>310982.76239098184</v>
      </c>
      <c r="K55" s="33">
        <f>SUM(K50:K54)</f>
        <v>654600</v>
      </c>
    </row>
    <row r="57" spans="1:11" x14ac:dyDescent="0.25">
      <c r="G57" t="s">
        <v>77</v>
      </c>
      <c r="H57" s="33">
        <f>H45-H55</f>
        <v>268793.81973111856</v>
      </c>
      <c r="I57" s="33">
        <f t="shared" ref="I57:J57" si="26">I45-I55</f>
        <v>186574.92396827452</v>
      </c>
      <c r="J57" s="33">
        <f t="shared" si="26"/>
        <v>-71468.743699393061</v>
      </c>
      <c r="K57" s="33">
        <f>SUM(H57:J57)</f>
        <v>383900.00000000006</v>
      </c>
    </row>
    <row r="58" spans="1:11" x14ac:dyDescent="0.25">
      <c r="H58" s="29">
        <f>H57/H42</f>
        <v>0.45366045524239418</v>
      </c>
      <c r="I58" s="29">
        <f t="shared" ref="I58:K58" si="27">I57/I42</f>
        <v>0.21322848453517088</v>
      </c>
      <c r="J58" s="29">
        <f t="shared" si="27"/>
        <v>-0.18807564131419227</v>
      </c>
      <c r="K58" s="29">
        <f t="shared" si="27"/>
        <v>0.20779431664411369</v>
      </c>
    </row>
    <row r="60" spans="1:11" x14ac:dyDescent="0.25">
      <c r="G60" t="s">
        <v>83</v>
      </c>
      <c r="H60">
        <f>B50*$L$31</f>
        <v>172617.12328767122</v>
      </c>
      <c r="I60">
        <f t="shared" ref="I60:J60" si="28">C50*$L$31</f>
        <v>307123.9726027397</v>
      </c>
      <c r="J60">
        <f t="shared" si="28"/>
        <v>174858.90410958903</v>
      </c>
      <c r="K60">
        <f>SUM(H60:J60)</f>
        <v>654600</v>
      </c>
    </row>
    <row r="61" spans="1:11" x14ac:dyDescent="0.25">
      <c r="A61" t="s">
        <v>79</v>
      </c>
      <c r="B61" t="s">
        <v>80</v>
      </c>
      <c r="G61" t="s">
        <v>50</v>
      </c>
      <c r="H61" s="33">
        <f>H45-H60</f>
        <v>206392.2225067213</v>
      </c>
      <c r="I61" s="33">
        <f t="shared" ref="I61:K61" si="29">I45-I60</f>
        <v>112852.66291127901</v>
      </c>
      <c r="J61" s="33">
        <f t="shared" si="29"/>
        <v>64655.114581999747</v>
      </c>
      <c r="K61" s="33">
        <f t="shared" si="29"/>
        <v>383900</v>
      </c>
    </row>
    <row r="62" spans="1:11" x14ac:dyDescent="0.25">
      <c r="H62" s="29">
        <f>H61/H42</f>
        <v>0.34834130380881234</v>
      </c>
      <c r="I62" s="29">
        <f t="shared" ref="I62:J62" si="30">I61/I42</f>
        <v>0.12897447189860459</v>
      </c>
      <c r="J62" s="29">
        <f t="shared" si="30"/>
        <v>0.17014503837368355</v>
      </c>
    </row>
    <row r="63" spans="1:11" x14ac:dyDescent="0.25">
      <c r="A63" t="s">
        <v>82</v>
      </c>
    </row>
    <row r="64" spans="1:11" x14ac:dyDescent="0.25">
      <c r="A64" t="s">
        <v>81</v>
      </c>
      <c r="G64" t="s">
        <v>84</v>
      </c>
      <c r="H64" s="30">
        <f>(B43+B47)*$H$32</f>
        <v>112968.49315068494</v>
      </c>
      <c r="I64" s="30">
        <f t="shared" ref="I64:J64" si="31">(C43+C47)*$H$32</f>
        <v>200995.89041095891</v>
      </c>
      <c r="J64" s="30">
        <f t="shared" si="31"/>
        <v>114435.61643835617</v>
      </c>
      <c r="K64" s="33">
        <f>SUM(H64:J64)</f>
        <v>428400</v>
      </c>
    </row>
    <row r="65" spans="7:11" x14ac:dyDescent="0.25">
      <c r="G65" t="s">
        <v>88</v>
      </c>
      <c r="H65">
        <f>B47*$I$32</f>
        <v>6652.9411764705883</v>
      </c>
      <c r="I65">
        <f t="shared" ref="I65:J65" si="32">C47*$I$32</f>
        <v>39917.647058823532</v>
      </c>
      <c r="J65">
        <f t="shared" si="32"/>
        <v>179629.41176470587</v>
      </c>
      <c r="K65" s="33">
        <f>SUM(H65:J65)</f>
        <v>226200</v>
      </c>
    </row>
    <row r="66" spans="7:11" x14ac:dyDescent="0.25">
      <c r="H66" s="33">
        <f>SUM(H64:H65)</f>
        <v>119621.43432715553</v>
      </c>
      <c r="I66" s="33">
        <f t="shared" ref="I66:K66" si="33">SUM(I64:I65)</f>
        <v>240913.53746978243</v>
      </c>
      <c r="J66" s="33">
        <f t="shared" si="33"/>
        <v>294065.02820306201</v>
      </c>
      <c r="K66" s="33">
        <f t="shared" si="33"/>
        <v>654600</v>
      </c>
    </row>
    <row r="67" spans="7:11" x14ac:dyDescent="0.25">
      <c r="G67" t="s">
        <v>77</v>
      </c>
      <c r="H67" s="33">
        <f>H45-H66</f>
        <v>259387.91146723699</v>
      </c>
      <c r="I67" s="33">
        <f t="shared" ref="I67:K67" si="34">I45-I66</f>
        <v>179063.09804423628</v>
      </c>
      <c r="J67" s="33">
        <f t="shared" si="34"/>
        <v>-54551.009511473239</v>
      </c>
      <c r="K67" s="33">
        <f t="shared" si="34"/>
        <v>383900</v>
      </c>
    </row>
    <row r="68" spans="7:11" x14ac:dyDescent="0.25">
      <c r="H68" s="5">
        <f>H67/H42</f>
        <v>0.43778550458605398</v>
      </c>
      <c r="I68" s="5">
        <f t="shared" ref="I68:K68" si="35">I67/I42</f>
        <v>0.20464354062198431</v>
      </c>
      <c r="J68" s="5">
        <f t="shared" si="35"/>
        <v>-0.14355528818808747</v>
      </c>
      <c r="K68" s="5">
        <f t="shared" si="35"/>
        <v>0.20779431664411366</v>
      </c>
    </row>
    <row r="69" spans="7:11" x14ac:dyDescent="0.25">
      <c r="G69" t="s">
        <v>89</v>
      </c>
      <c r="H69" s="33">
        <f>H43+H44+H55</f>
        <v>323706.18026888144</v>
      </c>
      <c r="I69" s="33">
        <f>I43+I44+I55</f>
        <v>688425.0760317255</v>
      </c>
      <c r="J69" s="33">
        <f>J43+J44+J55</f>
        <v>451468.74369939306</v>
      </c>
    </row>
    <row r="70" spans="7:11" x14ac:dyDescent="0.25">
      <c r="G70" t="s">
        <v>90</v>
      </c>
      <c r="H70" s="33">
        <f>H69/B42</f>
        <v>43.160824035850858</v>
      </c>
      <c r="I70" s="33">
        <f>I69/C42</f>
        <v>55.074006082538041</v>
      </c>
      <c r="J70" s="33">
        <f>J69/D42</f>
        <v>112.86718592484827</v>
      </c>
    </row>
    <row r="71" spans="7:11" x14ac:dyDescent="0.25">
      <c r="G71" t="s">
        <v>91</v>
      </c>
      <c r="H71" s="33">
        <f>H70/(1-0.3)</f>
        <v>61.658320051215519</v>
      </c>
      <c r="I71" s="33">
        <f t="shared" ref="I71:J71" si="36">I70/(1-0.3)</f>
        <v>78.677151546482918</v>
      </c>
      <c r="J71" s="33">
        <f t="shared" si="36"/>
        <v>161.23883703549754</v>
      </c>
    </row>
    <row r="73" spans="7:11" ht="30" x14ac:dyDescent="0.25">
      <c r="H73" s="34" t="s">
        <v>85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2638-BB5D-47DD-B2BE-7C1C74F3FEDD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86</v>
      </c>
    </row>
    <row r="3" spans="1:1" x14ac:dyDescent="0.25">
      <c r="A3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TD-ABC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Vishwanathan Iyer</dc:creator>
  <cp:lastModifiedBy>Bijesh Singha</cp:lastModifiedBy>
  <dcterms:created xsi:type="dcterms:W3CDTF">2012-10-22T09:45:38Z</dcterms:created>
  <dcterms:modified xsi:type="dcterms:W3CDTF">2025-07-28T17:32:15Z</dcterms:modified>
</cp:coreProperties>
</file>