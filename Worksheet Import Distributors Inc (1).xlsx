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kachra\Downloads\"/>
    </mc:Choice>
  </mc:AlternateContent>
  <xr:revisionPtr revIDLastSave="0" documentId="13_ncr:1_{05C46B40-1D0F-411D-9BB2-BA8309F474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 Dis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3" l="1"/>
  <c r="H14" i="3" l="1"/>
  <c r="G14" i="3"/>
  <c r="E14" i="3" s="1"/>
  <c r="H13" i="3"/>
  <c r="G13" i="3"/>
  <c r="E13" i="3" s="1"/>
  <c r="H12" i="3"/>
  <c r="G12" i="3"/>
  <c r="E12" i="3" s="1"/>
  <c r="H11" i="3"/>
  <c r="G11" i="3"/>
  <c r="E11" i="3" s="1"/>
  <c r="H10" i="3"/>
  <c r="G10" i="3"/>
  <c r="E10" i="3" s="1"/>
  <c r="H9" i="3"/>
  <c r="G9" i="3"/>
  <c r="E9" i="3" s="1"/>
  <c r="H8" i="3"/>
  <c r="G8" i="3"/>
  <c r="E8" i="3" s="1"/>
  <c r="H7" i="3"/>
  <c r="G7" i="3"/>
  <c r="E7" i="3" s="1"/>
  <c r="H6" i="3"/>
  <c r="G6" i="3"/>
  <c r="D17" i="3"/>
  <c r="D19" i="3" s="1"/>
  <c r="D15" i="3"/>
  <c r="D4" i="3"/>
  <c r="G15" i="3" l="1"/>
  <c r="H15" i="3"/>
  <c r="H17" i="3" s="1"/>
  <c r="E6" i="3"/>
  <c r="E15" i="3" s="1"/>
  <c r="E17" i="3" s="1"/>
  <c r="D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Bijesh Singha</author>
  </authors>
  <commentList>
    <comment ref="D6" authorId="0" shapeId="0" xr:uid="{9D453972-59CB-4903-8F28-85A54303896B}">
      <text>
        <r>
          <rPr>
            <b/>
            <sz val="9"/>
            <color indexed="81"/>
            <rFont val="Tahoma"/>
            <charset val="1"/>
          </rPr>
          <t>Bijesh Singha:</t>
        </r>
        <r>
          <rPr>
            <sz val="9"/>
            <color indexed="81"/>
            <rFont val="Tahoma"/>
            <charset val="1"/>
          </rPr>
          <t xml:space="preserve">
sticky cost</t>
        </r>
      </text>
    </comment>
    <comment ref="B9" authorId="0" shapeId="0" xr:uid="{B8C69AB1-A66C-400D-B9BF-ED74CACD5493}">
      <text>
        <r>
          <rPr>
            <b/>
            <sz val="9"/>
            <color indexed="81"/>
            <rFont val="Tahoma"/>
            <charset val="1"/>
          </rPr>
          <t>Bijesh Singha:</t>
        </r>
        <r>
          <rPr>
            <sz val="9"/>
            <color indexed="81"/>
            <rFont val="Tahoma"/>
            <charset val="1"/>
          </rPr>
          <t xml:space="preserve">
Taxes and Insurance </t>
        </r>
      </text>
    </comment>
    <comment ref="B13" authorId="0" shapeId="0" xr:uid="{934E45C2-9386-4A7C-BBA8-A7C692AE0A8B}">
      <text>
        <r>
          <rPr>
            <b/>
            <sz val="9"/>
            <color indexed="81"/>
            <rFont val="Tahoma"/>
            <charset val="1"/>
          </rPr>
          <t>Bijesh Singha:</t>
        </r>
        <r>
          <rPr>
            <sz val="9"/>
            <color indexed="81"/>
            <rFont val="Tahoma"/>
            <charset val="1"/>
          </rPr>
          <t xml:space="preserve">
sales is not the reason for salary</t>
        </r>
      </text>
    </comment>
    <comment ref="B14" authorId="0" shapeId="0" xr:uid="{B4FA5401-35F8-4078-B437-747973EDCF48}">
      <text>
        <r>
          <rPr>
            <b/>
            <sz val="9"/>
            <color indexed="81"/>
            <rFont val="Tahoma"/>
            <charset val="1"/>
          </rPr>
          <t>Bijesh Singha:</t>
        </r>
        <r>
          <rPr>
            <sz val="9"/>
            <color indexed="81"/>
            <rFont val="Tahoma"/>
            <charset val="1"/>
          </rPr>
          <t xml:space="preserve">
the more inventory I have to maintain I need loan for WC
loan is taken not by department but by the entity as a whole</t>
        </r>
      </text>
    </comment>
  </commentList>
</comments>
</file>

<file path=xl/sharedStrings.xml><?xml version="1.0" encoding="utf-8"?>
<sst xmlns="http://schemas.openxmlformats.org/spreadsheetml/2006/main" count="41" uniqueCount="34">
  <si>
    <t>Drop</t>
  </si>
  <si>
    <t>Sales</t>
  </si>
  <si>
    <t>Sunk Cost</t>
  </si>
  <si>
    <t>Avoidable Cost</t>
  </si>
  <si>
    <t>Cost of Sales</t>
  </si>
  <si>
    <t>Operting Expenses</t>
  </si>
  <si>
    <t>Personnel</t>
  </si>
  <si>
    <t>Note 1</t>
  </si>
  <si>
    <t>Dept Managers Office</t>
  </si>
  <si>
    <t>Rent</t>
  </si>
  <si>
    <t>Note 2</t>
  </si>
  <si>
    <t>Inventory, taxes &amp; Insurance</t>
  </si>
  <si>
    <t>Utilities</t>
  </si>
  <si>
    <t>Note 3</t>
  </si>
  <si>
    <t>Delivery Cost</t>
  </si>
  <si>
    <t>Note 4</t>
  </si>
  <si>
    <t>Sales Commission</t>
  </si>
  <si>
    <t>Note 5</t>
  </si>
  <si>
    <t>Administrative Costs</t>
  </si>
  <si>
    <t>Note 6</t>
  </si>
  <si>
    <t>Inventory financing charge</t>
  </si>
  <si>
    <t>Note 7</t>
  </si>
  <si>
    <t>Profit Before Taxes</t>
  </si>
  <si>
    <t>What is this?</t>
  </si>
  <si>
    <t>Income taxes (credit)</t>
  </si>
  <si>
    <t>Net Income</t>
  </si>
  <si>
    <t>indirect cost are likely to be sunk cost</t>
  </si>
  <si>
    <t>If I do remapping of man power I maybe able to downsize</t>
  </si>
  <si>
    <t>Sunk</t>
  </si>
  <si>
    <t>Avoidable</t>
  </si>
  <si>
    <t xml:space="preserve">sunk cost maybe </t>
  </si>
  <si>
    <t>segmental profit</t>
  </si>
  <si>
    <t>segmental accounting</t>
  </si>
  <si>
    <t>if I shut down I will lose this segmental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</si>
</sst>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37" fontId="0" fillId="0" borderId="0" xfId="0" applyNumberFormat="1"/>
    <xf numFmtId="0" fontId="1" fillId="0" borderId="0" xfId="0" applyFont="1"/>
    <xf numFmtId="37" fontId="0" fillId="0" borderId="1" xfId="0" applyNumberFormat="1" applyBorder="1"/>
    <xf numFmtId="0" fontId="0" fillId="2" borderId="0" xfId="0" applyFill="1"/>
    <xf numFmtId="37" fontId="0" fillId="3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zoomScale="140" zoomScaleNormal="140" workbookViewId="0">
      <selection activeCell="E19" sqref="E19"/>
    </sheetView>
  </sheetViews>
  <sheetFormatPr defaultRowHeight="15" x14ac:dyDescent="0.25"/>
  <cols>
    <col min="2" max="2" width="27.140625" customWidth="1"/>
    <col min="4" max="4" width="10.7109375" customWidth="1"/>
  </cols>
  <sheetData>
    <row r="1" spans="1:11" x14ac:dyDescent="0.25">
      <c r="E1" t="s">
        <v>0</v>
      </c>
    </row>
    <row r="2" spans="1:11" x14ac:dyDescent="0.25">
      <c r="B2" t="s">
        <v>1</v>
      </c>
      <c r="D2" s="1">
        <v>1612403</v>
      </c>
      <c r="G2" s="2" t="s">
        <v>2</v>
      </c>
      <c r="H2" s="2" t="s">
        <v>3</v>
      </c>
    </row>
    <row r="3" spans="1:11" x14ac:dyDescent="0.25">
      <c r="B3" t="s">
        <v>4</v>
      </c>
      <c r="D3" s="3">
        <v>1422473</v>
      </c>
    </row>
    <row r="4" spans="1:11" x14ac:dyDescent="0.25">
      <c r="D4" s="1">
        <f>D2-D3</f>
        <v>189930</v>
      </c>
      <c r="E4" s="1">
        <v>0</v>
      </c>
      <c r="G4" s="1"/>
    </row>
    <row r="5" spans="1:11" x14ac:dyDescent="0.25">
      <c r="B5" t="s">
        <v>5</v>
      </c>
      <c r="D5" s="1"/>
      <c r="G5" s="1"/>
    </row>
    <row r="6" spans="1:11" x14ac:dyDescent="0.25">
      <c r="A6" s="4" t="s">
        <v>28</v>
      </c>
      <c r="B6" t="s">
        <v>6</v>
      </c>
      <c r="C6" t="s">
        <v>7</v>
      </c>
      <c r="D6" s="1">
        <v>10140</v>
      </c>
      <c r="E6" s="1">
        <f>G6</f>
        <v>10140</v>
      </c>
      <c r="G6" s="1">
        <f>IF(A6="Sunk",D6,0)</f>
        <v>10140</v>
      </c>
      <c r="H6" s="1">
        <f>IF(A6="Avoidable",D6,0)</f>
        <v>0</v>
      </c>
      <c r="K6" t="s">
        <v>27</v>
      </c>
    </row>
    <row r="7" spans="1:11" x14ac:dyDescent="0.25">
      <c r="A7" s="4" t="s">
        <v>29</v>
      </c>
      <c r="B7" t="s">
        <v>8</v>
      </c>
      <c r="D7" s="1">
        <v>12393</v>
      </c>
      <c r="E7" s="1">
        <f t="shared" ref="E7:E13" si="0">G7</f>
        <v>0</v>
      </c>
      <c r="G7" s="1">
        <f t="shared" ref="G7:G14" si="1">IF(A7="Sunk",D7,0)</f>
        <v>0</v>
      </c>
      <c r="H7" s="1">
        <f t="shared" ref="H7:H14" si="2">IF(A7="Avoidable",D7,0)</f>
        <v>12393</v>
      </c>
    </row>
    <row r="8" spans="1:11" x14ac:dyDescent="0.25">
      <c r="A8" s="4" t="s">
        <v>28</v>
      </c>
      <c r="B8" t="s">
        <v>9</v>
      </c>
      <c r="C8" t="s">
        <v>10</v>
      </c>
      <c r="D8" s="1">
        <v>50107</v>
      </c>
      <c r="E8" s="1">
        <f t="shared" si="0"/>
        <v>50107</v>
      </c>
      <c r="G8" s="1">
        <f t="shared" si="1"/>
        <v>50107</v>
      </c>
      <c r="H8" s="1">
        <f t="shared" si="2"/>
        <v>0</v>
      </c>
    </row>
    <row r="9" spans="1:11" x14ac:dyDescent="0.25">
      <c r="A9" s="4" t="s">
        <v>29</v>
      </c>
      <c r="B9" t="s">
        <v>11</v>
      </c>
      <c r="D9" s="1">
        <v>37274</v>
      </c>
      <c r="E9" s="1">
        <f t="shared" si="0"/>
        <v>0</v>
      </c>
      <c r="G9" s="1">
        <f t="shared" si="1"/>
        <v>0</v>
      </c>
      <c r="H9" s="1">
        <f t="shared" si="2"/>
        <v>37274</v>
      </c>
    </row>
    <row r="10" spans="1:11" x14ac:dyDescent="0.25">
      <c r="A10" s="4" t="s">
        <v>28</v>
      </c>
      <c r="B10" s="6" t="s">
        <v>12</v>
      </c>
      <c r="C10" t="s">
        <v>13</v>
      </c>
      <c r="D10" s="1">
        <v>3006</v>
      </c>
      <c r="E10" s="1">
        <f t="shared" si="0"/>
        <v>3006</v>
      </c>
      <c r="G10" s="1">
        <f t="shared" si="1"/>
        <v>3006</v>
      </c>
      <c r="H10" s="1">
        <f t="shared" si="2"/>
        <v>0</v>
      </c>
    </row>
    <row r="11" spans="1:11" x14ac:dyDescent="0.25">
      <c r="A11" s="4" t="s">
        <v>28</v>
      </c>
      <c r="B11" s="6" t="s">
        <v>14</v>
      </c>
      <c r="C11" t="s">
        <v>15</v>
      </c>
      <c r="D11" s="1">
        <v>32248</v>
      </c>
      <c r="E11" s="1">
        <f t="shared" si="0"/>
        <v>32248</v>
      </c>
      <c r="G11" s="1">
        <f t="shared" si="1"/>
        <v>32248</v>
      </c>
      <c r="H11" s="1">
        <f t="shared" si="2"/>
        <v>0</v>
      </c>
    </row>
    <row r="12" spans="1:11" x14ac:dyDescent="0.25">
      <c r="A12" s="4" t="s">
        <v>29</v>
      </c>
      <c r="B12" t="s">
        <v>16</v>
      </c>
      <c r="C12" t="s">
        <v>17</v>
      </c>
      <c r="D12" s="1">
        <v>80621</v>
      </c>
      <c r="E12" s="1">
        <f t="shared" si="0"/>
        <v>0</v>
      </c>
      <c r="G12" s="1">
        <f t="shared" si="1"/>
        <v>0</v>
      </c>
      <c r="H12" s="1">
        <f t="shared" si="2"/>
        <v>80621</v>
      </c>
    </row>
    <row r="13" spans="1:11" x14ac:dyDescent="0.25">
      <c r="A13" s="4" t="s">
        <v>28</v>
      </c>
      <c r="B13" t="s">
        <v>18</v>
      </c>
      <c r="C13" t="s">
        <v>19</v>
      </c>
      <c r="D13" s="1">
        <v>40310</v>
      </c>
      <c r="E13" s="1">
        <f t="shared" si="0"/>
        <v>40310</v>
      </c>
      <c r="G13" s="1">
        <f t="shared" si="1"/>
        <v>40310</v>
      </c>
      <c r="H13" s="1">
        <f t="shared" si="2"/>
        <v>0</v>
      </c>
    </row>
    <row r="14" spans="1:11" x14ac:dyDescent="0.25">
      <c r="A14" s="4" t="s">
        <v>29</v>
      </c>
      <c r="B14" t="s">
        <v>20</v>
      </c>
      <c r="C14" t="s">
        <v>21</v>
      </c>
      <c r="D14" s="3">
        <v>23708</v>
      </c>
      <c r="E14" s="3">
        <f>G14</f>
        <v>0</v>
      </c>
      <c r="G14" s="3">
        <f t="shared" si="1"/>
        <v>0</v>
      </c>
      <c r="H14" s="3">
        <f t="shared" si="2"/>
        <v>23708</v>
      </c>
    </row>
    <row r="15" spans="1:11" x14ac:dyDescent="0.25">
      <c r="D15" s="1">
        <f>SUM(D6:D14)</f>
        <v>289807</v>
      </c>
      <c r="E15" s="1">
        <f>SUM(E6:E14)</f>
        <v>135811</v>
      </c>
      <c r="G15" s="1">
        <f t="shared" ref="G15:H15" si="3">SUM(G6:G14)</f>
        <v>135811</v>
      </c>
      <c r="H15" s="1">
        <f t="shared" si="3"/>
        <v>153996</v>
      </c>
    </row>
    <row r="16" spans="1:11" x14ac:dyDescent="0.25">
      <c r="D16" s="1"/>
      <c r="E16" s="1"/>
      <c r="G16" s="1"/>
      <c r="H16" s="1"/>
    </row>
    <row r="17" spans="2:11" x14ac:dyDescent="0.25">
      <c r="B17" t="s">
        <v>22</v>
      </c>
      <c r="D17" s="5">
        <f>D4-D15</f>
        <v>-99877</v>
      </c>
      <c r="E17" s="1">
        <f>E4-E15</f>
        <v>-135811</v>
      </c>
      <c r="F17" s="1">
        <f>D17-E17</f>
        <v>35934</v>
      </c>
      <c r="G17" s="1"/>
      <c r="H17" s="1">
        <f>D4-H15</f>
        <v>35934</v>
      </c>
      <c r="I17" s="2" t="s">
        <v>23</v>
      </c>
      <c r="K17" t="s">
        <v>33</v>
      </c>
    </row>
    <row r="18" spans="2:11" x14ac:dyDescent="0.25">
      <c r="D18" s="1"/>
      <c r="H18" t="s">
        <v>31</v>
      </c>
    </row>
    <row r="19" spans="2:11" x14ac:dyDescent="0.25">
      <c r="B19" t="s">
        <v>24</v>
      </c>
      <c r="D19" s="1">
        <f>ROUND(D17*0.35,0)</f>
        <v>-34957</v>
      </c>
      <c r="H19" t="s">
        <v>32</v>
      </c>
    </row>
    <row r="20" spans="2:11" x14ac:dyDescent="0.25">
      <c r="D20" s="1"/>
    </row>
    <row r="21" spans="2:11" x14ac:dyDescent="0.25">
      <c r="B21" t="s">
        <v>25</v>
      </c>
      <c r="D21" s="1">
        <f>D4-D15-D19</f>
        <v>-64920</v>
      </c>
      <c r="G21" t="s">
        <v>26</v>
      </c>
    </row>
    <row r="23" spans="2:11" x14ac:dyDescent="0.25">
      <c r="G23" t="s">
        <v>30</v>
      </c>
    </row>
  </sheetData>
  <dataValidations count="1">
    <dataValidation type="list" allowBlank="1" showInputMessage="1" showErrorMessage="1" sqref="A6:A14" xr:uid="{00000000-0002-0000-0000-000000000000}">
      <formula1>"&lt;blank&gt;, Sunk, Avoidable"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Dist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Vishwanathan Iyer</dc:creator>
  <cp:lastModifiedBy>Bijesh Singha</cp:lastModifiedBy>
  <dcterms:created xsi:type="dcterms:W3CDTF">2022-09-12T00:23:22Z</dcterms:created>
  <dcterms:modified xsi:type="dcterms:W3CDTF">2025-07-26T09:29:25Z</dcterms:modified>
</cp:coreProperties>
</file>