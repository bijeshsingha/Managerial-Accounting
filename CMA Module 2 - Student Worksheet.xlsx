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8C8E039-9284-414D-9AA3-5B9A18E09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damental Concepts" sheetId="1" r:id="rId1"/>
    <sheet name="OH 2-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E27" i="2"/>
  <c r="D27" i="2"/>
  <c r="E25" i="2"/>
  <c r="E26" i="2" s="1"/>
  <c r="E24" i="2"/>
  <c r="E23" i="2"/>
  <c r="D25" i="2"/>
  <c r="D24" i="2"/>
  <c r="D23" i="2"/>
  <c r="D15" i="2"/>
  <c r="E15" i="2"/>
  <c r="C15" i="2"/>
  <c r="E11" i="2"/>
  <c r="D26" i="2" l="1"/>
  <c r="J15" i="1"/>
  <c r="P5" i="1" s="1"/>
  <c r="J14" i="1"/>
  <c r="N4" i="1" s="1"/>
  <c r="P6" i="1"/>
  <c r="P18" i="1" s="1"/>
  <c r="O6" i="1"/>
  <c r="O18" i="1" s="1"/>
  <c r="N6" i="1"/>
  <c r="N18" i="1" s="1"/>
  <c r="M6" i="1"/>
  <c r="M18" i="1" s="1"/>
  <c r="J12" i="1"/>
  <c r="J13" i="1" s="1"/>
  <c r="M3" i="1" s="1"/>
  <c r="J9" i="1"/>
  <c r="P11" i="1" s="1"/>
  <c r="P12" i="1" s="1"/>
  <c r="P19" i="1" s="1"/>
  <c r="J8" i="1"/>
  <c r="J7" i="1"/>
  <c r="P8" i="1"/>
  <c r="O8" i="1"/>
  <c r="N8" i="1"/>
  <c r="M8" i="1"/>
  <c r="J3" i="1"/>
  <c r="J2" i="1"/>
  <c r="M11" i="1" l="1"/>
  <c r="M12" i="1" s="1"/>
  <c r="M19" i="1" s="1"/>
  <c r="N11" i="1"/>
  <c r="N12" i="1" s="1"/>
  <c r="N19" i="1" s="1"/>
  <c r="O11" i="1"/>
  <c r="O12" i="1" s="1"/>
  <c r="O19" i="1" s="1"/>
  <c r="M15" i="1"/>
  <c r="N15" i="1"/>
  <c r="O15" i="1"/>
  <c r="P15" i="1"/>
  <c r="N16" i="1"/>
  <c r="P17" i="1"/>
  <c r="O5" i="1"/>
  <c r="O17" i="1" s="1"/>
  <c r="M5" i="1"/>
  <c r="N5" i="1"/>
  <c r="N17" i="1" s="1"/>
  <c r="O4" i="1"/>
  <c r="O16" i="1" s="1"/>
  <c r="P4" i="1"/>
  <c r="P16" i="1" s="1"/>
  <c r="M4" i="1"/>
  <c r="M16" i="1" s="1"/>
  <c r="N3" i="1"/>
  <c r="O3" i="1"/>
  <c r="P3" i="1"/>
  <c r="P21" i="1" l="1"/>
  <c r="N21" i="1"/>
  <c r="O21" i="1"/>
  <c r="M7" i="1"/>
  <c r="M9" i="1" s="1"/>
  <c r="N7" i="1"/>
  <c r="N9" i="1" s="1"/>
  <c r="M17" i="1"/>
  <c r="M21" i="1" s="1"/>
  <c r="O7" i="1"/>
  <c r="O9" i="1" s="1"/>
  <c r="P7" i="1"/>
  <c r="P9" i="1" s="1"/>
  <c r="E17" i="2" l="1"/>
  <c r="D17" i="2"/>
  <c r="C17" i="2"/>
  <c r="F8" i="2"/>
  <c r="D19" i="2" s="1"/>
  <c r="F7" i="2"/>
  <c r="F4" i="2"/>
  <c r="F3" i="2"/>
  <c r="F17" i="2" l="1"/>
  <c r="C19" i="2"/>
  <c r="E12" i="2"/>
  <c r="E19" i="2"/>
  <c r="E28" i="2" l="1"/>
  <c r="D28" i="2"/>
</calcChain>
</file>

<file path=xl/sharedStrings.xml><?xml version="1.0" encoding="utf-8"?>
<sst xmlns="http://schemas.openxmlformats.org/spreadsheetml/2006/main" count="79" uniqueCount="73">
  <si>
    <t>Fabricating</t>
  </si>
  <si>
    <t>Machining</t>
  </si>
  <si>
    <t>Assembly</t>
  </si>
  <si>
    <t>OVERALL</t>
  </si>
  <si>
    <t>For Koopers job</t>
  </si>
  <si>
    <t>D Mat</t>
  </si>
  <si>
    <t>D Lab</t>
  </si>
  <si>
    <t>Plantwide OH Absorption rate</t>
  </si>
  <si>
    <t>Departmental OH Absorption rate</t>
  </si>
  <si>
    <t>DL share</t>
  </si>
  <si>
    <t>Bidding rate under various appraoches</t>
  </si>
  <si>
    <t>Plant OH</t>
  </si>
  <si>
    <t>Dept OH</t>
  </si>
  <si>
    <t>OH</t>
  </si>
  <si>
    <t>Total Cost</t>
  </si>
  <si>
    <t>Markup</t>
  </si>
  <si>
    <t>Bid Price</t>
  </si>
  <si>
    <t>Sales</t>
  </si>
  <si>
    <t>Pre-determined OH rate</t>
  </si>
  <si>
    <t>Under &amp; Over Absorption</t>
  </si>
  <si>
    <t>Table 1</t>
  </si>
  <si>
    <t>Table 2</t>
  </si>
  <si>
    <t>Cost drivers</t>
  </si>
  <si>
    <t>Activity Based Costing</t>
  </si>
  <si>
    <t>Questions for Analysis</t>
  </si>
  <si>
    <t>Thought experiment</t>
  </si>
  <si>
    <t>How do we arrive at the cost per cup of tea for a road-side tea seller?</t>
  </si>
  <si>
    <t>How do we arrive at the cost per item in a restaurant?</t>
  </si>
  <si>
    <t>The company uses a plantwide predetermined OH rate based on Direct Labor Cost.</t>
  </si>
  <si>
    <t>Mfg OH $</t>
  </si>
  <si>
    <t>Direct Lab $</t>
  </si>
  <si>
    <t>Data at the three Dept level for Manufacturing OH and the Direct Lab Cost</t>
  </si>
  <si>
    <t>Info pertaining to a select job - Koopers job</t>
  </si>
  <si>
    <t>Direct Mat $</t>
  </si>
  <si>
    <t>Arrive at the plantwide predetermined OH rate based on existing approach and the unit cost for Koopers job</t>
  </si>
  <si>
    <t>CEO's remarks - "We just lost the bid for Koopers job by $2000. It seems that we're either too high to get the job</t>
  </si>
  <si>
    <t>or too low to make any money on half the jobs we bid."</t>
  </si>
  <si>
    <t>Perform the same analysis using Department wise OH rate</t>
  </si>
  <si>
    <t>In case of Koopers job, can you explain why costs vary so much based on these two computations</t>
  </si>
  <si>
    <t>Given a 50% markup on total cost, arrive at the bid price under both approaches and draw implications</t>
  </si>
  <si>
    <t>Step by Step ANALYSIS</t>
  </si>
  <si>
    <t>Concept check - Think of different cost driver candidates for plantwide OH rate</t>
  </si>
  <si>
    <t>Labour ($10 per hr * 0.5 hrs/unit)</t>
  </si>
  <si>
    <t>Material ($1.5 per oz * 2 oz / unit)</t>
  </si>
  <si>
    <t>Fixed OH per month</t>
  </si>
  <si>
    <t>Var OH per month</t>
  </si>
  <si>
    <t>Normal Volume per month</t>
  </si>
  <si>
    <t>Full cost</t>
  </si>
  <si>
    <t>Volume</t>
  </si>
  <si>
    <t>Var OH</t>
  </si>
  <si>
    <t>Contribution</t>
  </si>
  <si>
    <t>Fixed OH</t>
  </si>
  <si>
    <t>Op Profit</t>
  </si>
  <si>
    <t>Ideal Profit</t>
  </si>
  <si>
    <t>U/O Ab OH</t>
  </si>
  <si>
    <t>OH recovered</t>
  </si>
  <si>
    <t>Labour Hours per month</t>
  </si>
  <si>
    <t>Fixed OH absorption rate (per DL hr)</t>
  </si>
  <si>
    <t>Therefore, Fixed OH per unit</t>
  </si>
  <si>
    <t>Mat Cost</t>
  </si>
  <si>
    <t>Lab cost</t>
  </si>
  <si>
    <t>Deviation between Ideal &amp; Actual profits earned</t>
  </si>
  <si>
    <t>Mat</t>
  </si>
  <si>
    <t>Lab</t>
  </si>
  <si>
    <t>Fix OH</t>
  </si>
  <si>
    <t>ACTUAL Profit</t>
  </si>
  <si>
    <t>Selling Price (20% markup)</t>
  </si>
  <si>
    <t>Actual Material Cost per unit</t>
  </si>
  <si>
    <t>Actual Labour Cost per unit</t>
  </si>
  <si>
    <t>Actual Var OH Cost per unit</t>
  </si>
  <si>
    <t>Illustration for Concept Check</t>
  </si>
  <si>
    <t>Is the difference more than 2000?</t>
  </si>
  <si>
    <t>unique, traceable, identifiable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</si>
</sst>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9" fontId="0" fillId="0" borderId="0" xfId="2" applyFont="1"/>
    <xf numFmtId="165" fontId="2" fillId="0" borderId="0" xfId="0" applyNumberFormat="1" applyFont="1"/>
    <xf numFmtId="9" fontId="0" fillId="2" borderId="0" xfId="2" applyFont="1" applyFill="1"/>
    <xf numFmtId="165" fontId="0" fillId="0" borderId="0" xfId="0" applyNumberFormat="1"/>
    <xf numFmtId="165" fontId="0" fillId="2" borderId="0" xfId="0" applyNumberFormat="1" applyFill="1"/>
    <xf numFmtId="0" fontId="2" fillId="0" borderId="0" xfId="0" applyFont="1"/>
    <xf numFmtId="3" fontId="0" fillId="0" borderId="0" xfId="0" applyNumberFormat="1"/>
    <xf numFmtId="2" fontId="0" fillId="0" borderId="0" xfId="0" applyNumberFormat="1"/>
    <xf numFmtId="3" fontId="0" fillId="0" borderId="1" xfId="0" applyNumberFormat="1" applyBorder="1"/>
    <xf numFmtId="164" fontId="0" fillId="0" borderId="0" xfId="0" applyNumberFormat="1"/>
    <xf numFmtId="3" fontId="2" fillId="0" borderId="0" xfId="0" applyNumberFormat="1" applyFont="1"/>
    <xf numFmtId="166" fontId="0" fillId="0" borderId="0" xfId="0" applyNumberFormat="1"/>
    <xf numFmtId="0" fontId="0" fillId="3" borderId="0" xfId="0" applyFill="1"/>
    <xf numFmtId="9" fontId="0" fillId="4" borderId="0" xfId="2" applyFont="1" applyFill="1"/>
    <xf numFmtId="165" fontId="0" fillId="4" borderId="0" xfId="0" applyNumberFormat="1" applyFill="1"/>
    <xf numFmtId="165" fontId="0" fillId="4" borderId="1" xfId="0" applyNumberFormat="1" applyFill="1" applyBorder="1"/>
    <xf numFmtId="166" fontId="0" fillId="4" borderId="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activeCell="E17" sqref="E17"/>
    </sheetView>
  </sheetViews>
  <sheetFormatPr defaultRowHeight="15" x14ac:dyDescent="0.25"/>
  <cols>
    <col min="9" max="9" width="32.140625" bestFit="1" customWidth="1"/>
    <col min="10" max="10" width="10" bestFit="1" customWidth="1"/>
    <col min="12" max="12" width="13.28515625" bestFit="1" customWidth="1"/>
  </cols>
  <sheetData>
    <row r="1" spans="1:16" x14ac:dyDescent="0.25">
      <c r="I1" s="7" t="s">
        <v>70</v>
      </c>
      <c r="L1" s="14" t="s">
        <v>48</v>
      </c>
      <c r="M1" s="14">
        <v>9000</v>
      </c>
      <c r="N1" s="14">
        <v>9500</v>
      </c>
      <c r="O1" s="14">
        <v>10000</v>
      </c>
      <c r="P1" s="14">
        <v>12000</v>
      </c>
    </row>
    <row r="2" spans="1:16" x14ac:dyDescent="0.25">
      <c r="A2">
        <v>1</v>
      </c>
      <c r="B2" t="s">
        <v>18</v>
      </c>
      <c r="I2" t="s">
        <v>43</v>
      </c>
      <c r="J2" s="9">
        <f>1.5*2</f>
        <v>3</v>
      </c>
    </row>
    <row r="3" spans="1:16" x14ac:dyDescent="0.25">
      <c r="A3">
        <v>2</v>
      </c>
      <c r="B3" t="s">
        <v>19</v>
      </c>
      <c r="I3" t="s">
        <v>42</v>
      </c>
      <c r="J3" s="9">
        <f>10*0.5</f>
        <v>5</v>
      </c>
      <c r="L3" t="s">
        <v>17</v>
      </c>
      <c r="M3" s="8">
        <f>M1*$J$13</f>
        <v>162000</v>
      </c>
      <c r="N3" s="8">
        <f>N1*$J$13</f>
        <v>171000</v>
      </c>
      <c r="O3" s="8">
        <f>O1*$J$13</f>
        <v>180000</v>
      </c>
      <c r="P3" s="8">
        <f>P1*$J$13</f>
        <v>216000</v>
      </c>
    </row>
    <row r="4" spans="1:16" x14ac:dyDescent="0.25">
      <c r="A4">
        <v>3</v>
      </c>
      <c r="B4" t="s">
        <v>22</v>
      </c>
      <c r="I4" t="s">
        <v>44</v>
      </c>
      <c r="J4" s="1">
        <v>45000</v>
      </c>
      <c r="K4" s="11"/>
      <c r="L4" t="s">
        <v>59</v>
      </c>
      <c r="M4" s="8">
        <f>M1*$J$14</f>
        <v>27000</v>
      </c>
      <c r="N4" s="8">
        <f t="shared" ref="N4:P4" si="0">N1*$J$14</f>
        <v>28500</v>
      </c>
      <c r="O4" s="8">
        <f t="shared" si="0"/>
        <v>30000</v>
      </c>
      <c r="P4" s="8">
        <f t="shared" si="0"/>
        <v>36000</v>
      </c>
    </row>
    <row r="5" spans="1:16" x14ac:dyDescent="0.25">
      <c r="A5">
        <v>4</v>
      </c>
      <c r="B5" t="s">
        <v>23</v>
      </c>
      <c r="I5" t="s">
        <v>45</v>
      </c>
      <c r="J5" s="9">
        <v>2.5</v>
      </c>
      <c r="L5" t="s">
        <v>60</v>
      </c>
      <c r="M5" s="8">
        <f>M1*$J$15</f>
        <v>45000</v>
      </c>
      <c r="N5" s="8">
        <f t="shared" ref="N5:P5" si="1">N1*$J$15</f>
        <v>47500</v>
      </c>
      <c r="O5" s="8">
        <f t="shared" si="1"/>
        <v>50000</v>
      </c>
      <c r="P5" s="8">
        <f t="shared" si="1"/>
        <v>60000</v>
      </c>
    </row>
    <row r="6" spans="1:16" x14ac:dyDescent="0.25">
      <c r="I6" t="s">
        <v>46</v>
      </c>
      <c r="J6" s="1">
        <v>10000</v>
      </c>
      <c r="L6" t="s">
        <v>49</v>
      </c>
      <c r="M6" s="10">
        <f>M1*$J$16</f>
        <v>22500</v>
      </c>
      <c r="N6" s="10">
        <f t="shared" ref="N6:P6" si="2">N1*$J$16</f>
        <v>23750</v>
      </c>
      <c r="O6" s="10">
        <f t="shared" si="2"/>
        <v>25000</v>
      </c>
      <c r="P6" s="10">
        <f t="shared" si="2"/>
        <v>30000</v>
      </c>
    </row>
    <row r="7" spans="1:16" x14ac:dyDescent="0.25">
      <c r="A7" t="s">
        <v>25</v>
      </c>
      <c r="I7" t="s">
        <v>56</v>
      </c>
      <c r="J7" s="13">
        <f>J6*0.5</f>
        <v>5000</v>
      </c>
      <c r="L7" t="s">
        <v>50</v>
      </c>
      <c r="M7" s="8">
        <f>M3-SUM(M4:M6)</f>
        <v>67500</v>
      </c>
      <c r="N7" s="8">
        <f t="shared" ref="N7:P7" si="3">N3-SUM(N4:N6)</f>
        <v>71250</v>
      </c>
      <c r="O7" s="8">
        <f t="shared" si="3"/>
        <v>75000</v>
      </c>
      <c r="P7" s="8">
        <f t="shared" si="3"/>
        <v>90000</v>
      </c>
    </row>
    <row r="8" spans="1:16" x14ac:dyDescent="0.25">
      <c r="A8">
        <v>1</v>
      </c>
      <c r="B8" t="s">
        <v>26</v>
      </c>
      <c r="I8" t="s">
        <v>57</v>
      </c>
      <c r="J8" s="9">
        <f>J4/J7</f>
        <v>9</v>
      </c>
      <c r="L8" t="s">
        <v>51</v>
      </c>
      <c r="M8" s="10">
        <f>$J$4</f>
        <v>45000</v>
      </c>
      <c r="N8" s="10">
        <f t="shared" ref="N8:P8" si="4">$J$4</f>
        <v>45000</v>
      </c>
      <c r="O8" s="10">
        <f t="shared" si="4"/>
        <v>45000</v>
      </c>
      <c r="P8" s="10">
        <f t="shared" si="4"/>
        <v>45000</v>
      </c>
    </row>
    <row r="9" spans="1:16" x14ac:dyDescent="0.25">
      <c r="A9">
        <v>2</v>
      </c>
      <c r="B9" t="s">
        <v>27</v>
      </c>
      <c r="I9" t="s">
        <v>58</v>
      </c>
      <c r="J9" s="9">
        <f>J8*0.5</f>
        <v>4.5</v>
      </c>
      <c r="L9" s="7" t="s">
        <v>52</v>
      </c>
      <c r="M9" s="12">
        <f>M7-M8</f>
        <v>22500</v>
      </c>
      <c r="N9" s="12">
        <f t="shared" ref="N9:P9" si="5">N7-N8</f>
        <v>26250</v>
      </c>
      <c r="O9" s="12">
        <f t="shared" si="5"/>
        <v>30000</v>
      </c>
      <c r="P9" s="12">
        <f t="shared" si="5"/>
        <v>45000</v>
      </c>
    </row>
    <row r="11" spans="1:16" x14ac:dyDescent="0.25">
      <c r="L11" t="s">
        <v>55</v>
      </c>
      <c r="M11" s="8">
        <f>M1*$J$9</f>
        <v>40500</v>
      </c>
      <c r="N11" s="8">
        <f>N1*$J$9</f>
        <v>42750</v>
      </c>
      <c r="O11" s="8">
        <f>O1*$J$9</f>
        <v>45000</v>
      </c>
      <c r="P11" s="8">
        <f>P1*$J$9</f>
        <v>54000</v>
      </c>
    </row>
    <row r="12" spans="1:16" x14ac:dyDescent="0.25">
      <c r="I12" t="s">
        <v>47</v>
      </c>
      <c r="J12" s="9">
        <f>SUM(J2,J3,J5,J9)</f>
        <v>15</v>
      </c>
      <c r="L12" t="s">
        <v>54</v>
      </c>
      <c r="M12" s="5">
        <f>M11-$J$4</f>
        <v>-4500</v>
      </c>
      <c r="N12" s="5">
        <f t="shared" ref="N12:P12" si="6">N11-$J$4</f>
        <v>-2250</v>
      </c>
      <c r="O12" s="5">
        <f t="shared" si="6"/>
        <v>0</v>
      </c>
      <c r="P12" s="5">
        <f t="shared" si="6"/>
        <v>9000</v>
      </c>
    </row>
    <row r="13" spans="1:16" x14ac:dyDescent="0.25">
      <c r="I13" t="s">
        <v>66</v>
      </c>
      <c r="J13" s="9">
        <f>J12*1.2</f>
        <v>18</v>
      </c>
    </row>
    <row r="14" spans="1:16" x14ac:dyDescent="0.25">
      <c r="I14" t="s">
        <v>67</v>
      </c>
      <c r="J14" s="9">
        <f>1.5*2</f>
        <v>3</v>
      </c>
      <c r="L14" s="7" t="s">
        <v>61</v>
      </c>
    </row>
    <row r="15" spans="1:16" x14ac:dyDescent="0.25">
      <c r="I15" t="s">
        <v>68</v>
      </c>
      <c r="J15" s="9">
        <f>10*0.5</f>
        <v>5</v>
      </c>
      <c r="L15" s="7" t="s">
        <v>53</v>
      </c>
      <c r="M15" s="8">
        <f>M1*($J$13-$J$12)</f>
        <v>27000</v>
      </c>
      <c r="N15" s="8">
        <f>N1*($J$13-$J$12)</f>
        <v>28500</v>
      </c>
      <c r="O15" s="8">
        <f>O1*($J$13-$J$12)</f>
        <v>30000</v>
      </c>
      <c r="P15" s="8">
        <f>P1*($J$13-$J$12)</f>
        <v>36000</v>
      </c>
    </row>
    <row r="16" spans="1:16" x14ac:dyDescent="0.25">
      <c r="I16" t="s">
        <v>69</v>
      </c>
      <c r="J16" s="9">
        <v>2.5</v>
      </c>
      <c r="L16" t="s">
        <v>62</v>
      </c>
      <c r="M16" s="5">
        <f>(M1*$J$2)-M4</f>
        <v>0</v>
      </c>
      <c r="N16" s="5">
        <f t="shared" ref="N16:P16" si="7">(N1*$J$2)-N4</f>
        <v>0</v>
      </c>
      <c r="O16" s="5">
        <f t="shared" si="7"/>
        <v>0</v>
      </c>
      <c r="P16" s="5">
        <f t="shared" si="7"/>
        <v>0</v>
      </c>
    </row>
    <row r="17" spans="12:16" x14ac:dyDescent="0.25">
      <c r="L17" t="s">
        <v>63</v>
      </c>
      <c r="M17" s="5">
        <f>(M1*$J$3)-M5</f>
        <v>0</v>
      </c>
      <c r="N17" s="5">
        <f t="shared" ref="N17:P17" si="8">(N1*$J$3)-N5</f>
        <v>0</v>
      </c>
      <c r="O17" s="5">
        <f t="shared" si="8"/>
        <v>0</v>
      </c>
      <c r="P17" s="5">
        <f t="shared" si="8"/>
        <v>0</v>
      </c>
    </row>
    <row r="18" spans="12:16" x14ac:dyDescent="0.25">
      <c r="L18" t="s">
        <v>49</v>
      </c>
      <c r="M18" s="5">
        <f>(M1*$J$5)-M6</f>
        <v>0</v>
      </c>
      <c r="N18" s="5">
        <f t="shared" ref="N18:P18" si="9">(N1*$J$5)-N6</f>
        <v>0</v>
      </c>
      <c r="O18" s="5">
        <f t="shared" si="9"/>
        <v>0</v>
      </c>
      <c r="P18" s="5">
        <f t="shared" si="9"/>
        <v>0</v>
      </c>
    </row>
    <row r="19" spans="12:16" x14ac:dyDescent="0.25">
      <c r="L19" t="s">
        <v>64</v>
      </c>
      <c r="M19" s="5">
        <f>M12</f>
        <v>-4500</v>
      </c>
      <c r="N19" s="5">
        <f t="shared" ref="N19:P19" si="10">N12</f>
        <v>-2250</v>
      </c>
      <c r="O19" s="5">
        <f t="shared" si="10"/>
        <v>0</v>
      </c>
      <c r="P19" s="5">
        <f t="shared" si="10"/>
        <v>9000</v>
      </c>
    </row>
    <row r="21" spans="12:16" x14ac:dyDescent="0.25">
      <c r="L21" s="7" t="s">
        <v>65</v>
      </c>
      <c r="M21" s="8">
        <f>SUM(M15:M19)</f>
        <v>22500</v>
      </c>
      <c r="N21" s="8">
        <f t="shared" ref="N21:P21" si="11">SUM(N15:N19)</f>
        <v>26250</v>
      </c>
      <c r="O21" s="8">
        <f t="shared" si="11"/>
        <v>30000</v>
      </c>
      <c r="P21" s="8">
        <f t="shared" si="11"/>
        <v>45000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0"/>
  <sheetViews>
    <sheetView zoomScale="120" zoomScaleNormal="120" workbookViewId="0">
      <selection activeCell="H16" sqref="H16"/>
    </sheetView>
  </sheetViews>
  <sheetFormatPr defaultRowHeight="15" x14ac:dyDescent="0.25"/>
  <cols>
    <col min="2" max="2" width="12.7109375" customWidth="1"/>
    <col min="3" max="3" width="11.5703125" bestFit="1" customWidth="1"/>
    <col min="4" max="4" width="9.5703125" bestFit="1" customWidth="1"/>
    <col min="5" max="6" width="9.7109375" bestFit="1" customWidth="1"/>
    <col min="8" max="8" width="30.28515625" customWidth="1"/>
  </cols>
  <sheetData>
    <row r="2" spans="1:10" x14ac:dyDescent="0.25">
      <c r="A2" t="s">
        <v>20</v>
      </c>
      <c r="C2" t="s">
        <v>0</v>
      </c>
      <c r="D2" t="s">
        <v>1</v>
      </c>
      <c r="E2" t="s">
        <v>2</v>
      </c>
      <c r="F2" t="s">
        <v>3</v>
      </c>
      <c r="I2" s="7" t="s">
        <v>35</v>
      </c>
    </row>
    <row r="3" spans="1:10" x14ac:dyDescent="0.25">
      <c r="B3" t="s">
        <v>29</v>
      </c>
      <c r="C3" s="1">
        <v>350000</v>
      </c>
      <c r="D3" s="1">
        <v>400000</v>
      </c>
      <c r="E3" s="1">
        <v>90000</v>
      </c>
      <c r="F3" s="1">
        <f>SUM(C3:E3)</f>
        <v>840000</v>
      </c>
      <c r="I3" s="7" t="s">
        <v>36</v>
      </c>
    </row>
    <row r="4" spans="1:10" x14ac:dyDescent="0.25">
      <c r="B4" t="s">
        <v>30</v>
      </c>
      <c r="C4" s="1">
        <v>200000</v>
      </c>
      <c r="D4" s="1">
        <v>100000</v>
      </c>
      <c r="E4" s="1">
        <v>300000</v>
      </c>
      <c r="F4" s="1">
        <f>SUM(C4:E4)</f>
        <v>600000</v>
      </c>
      <c r="G4" t="s">
        <v>72</v>
      </c>
    </row>
    <row r="5" spans="1:10" x14ac:dyDescent="0.25">
      <c r="I5" t="s">
        <v>28</v>
      </c>
    </row>
    <row r="6" spans="1:10" x14ac:dyDescent="0.25">
      <c r="A6" t="s">
        <v>21</v>
      </c>
      <c r="B6" t="s">
        <v>4</v>
      </c>
      <c r="I6" t="s">
        <v>20</v>
      </c>
      <c r="J6" t="s">
        <v>31</v>
      </c>
    </row>
    <row r="7" spans="1:10" x14ac:dyDescent="0.25">
      <c r="B7" t="s">
        <v>33</v>
      </c>
      <c r="C7" s="1">
        <v>3000</v>
      </c>
      <c r="D7" s="1">
        <v>200</v>
      </c>
      <c r="E7" s="1">
        <v>1400</v>
      </c>
      <c r="F7" s="1">
        <f>SUM(C7:E7)</f>
        <v>4600</v>
      </c>
      <c r="I7" t="s">
        <v>21</v>
      </c>
      <c r="J7" t="s">
        <v>32</v>
      </c>
    </row>
    <row r="8" spans="1:10" x14ac:dyDescent="0.25">
      <c r="B8" t="s">
        <v>30</v>
      </c>
      <c r="C8" s="1">
        <v>2800</v>
      </c>
      <c r="D8" s="1">
        <v>500</v>
      </c>
      <c r="E8" s="1">
        <v>6200</v>
      </c>
      <c r="F8" s="1">
        <f>SUM(C8:E8)</f>
        <v>9500</v>
      </c>
      <c r="G8" s="2">
        <f>F7/F8</f>
        <v>0.48421052631578948</v>
      </c>
    </row>
    <row r="9" spans="1:10" x14ac:dyDescent="0.25">
      <c r="I9" t="s">
        <v>24</v>
      </c>
    </row>
    <row r="10" spans="1:10" x14ac:dyDescent="0.25">
      <c r="A10" s="7" t="s">
        <v>40</v>
      </c>
      <c r="I10">
        <v>1</v>
      </c>
      <c r="J10" t="s">
        <v>34</v>
      </c>
    </row>
    <row r="11" spans="1:10" x14ac:dyDescent="0.25">
      <c r="A11">
        <v>1</v>
      </c>
      <c r="B11" t="s">
        <v>7</v>
      </c>
      <c r="E11" s="15">
        <f>F3/F4</f>
        <v>1.4</v>
      </c>
      <c r="I11">
        <v>2</v>
      </c>
      <c r="J11" t="s">
        <v>37</v>
      </c>
    </row>
    <row r="12" spans="1:10" x14ac:dyDescent="0.25">
      <c r="B12" t="s">
        <v>4</v>
      </c>
      <c r="E12" s="3">
        <f>F8*E11</f>
        <v>13300</v>
      </c>
      <c r="I12">
        <v>3</v>
      </c>
      <c r="J12" t="s">
        <v>38</v>
      </c>
    </row>
    <row r="13" spans="1:10" x14ac:dyDescent="0.25">
      <c r="I13">
        <v>4</v>
      </c>
      <c r="J13" t="s">
        <v>39</v>
      </c>
    </row>
    <row r="14" spans="1:10" x14ac:dyDescent="0.25">
      <c r="A14">
        <v>2</v>
      </c>
      <c r="B14" t="s">
        <v>8</v>
      </c>
    </row>
    <row r="15" spans="1:10" x14ac:dyDescent="0.25">
      <c r="C15" s="15">
        <f>C3/C4</f>
        <v>1.75</v>
      </c>
      <c r="D15" s="15">
        <f t="shared" ref="D15:E15" si="0">D3/D4</f>
        <v>4</v>
      </c>
      <c r="E15" s="15">
        <f t="shared" si="0"/>
        <v>0.3</v>
      </c>
      <c r="I15" t="s">
        <v>41</v>
      </c>
    </row>
    <row r="16" spans="1:10" x14ac:dyDescent="0.25">
      <c r="B16" t="s">
        <v>4</v>
      </c>
    </row>
    <row r="17" spans="1:6" x14ac:dyDescent="0.25">
      <c r="C17" s="5">
        <f>C8*C15</f>
        <v>4900</v>
      </c>
      <c r="D17" s="5">
        <f>D8*D15</f>
        <v>2000</v>
      </c>
      <c r="E17" s="6">
        <f>E8*E15</f>
        <v>1860</v>
      </c>
      <c r="F17" s="3">
        <f>SUM(C17:E17)</f>
        <v>8760</v>
      </c>
    </row>
    <row r="19" spans="1:6" x14ac:dyDescent="0.25">
      <c r="A19">
        <v>3</v>
      </c>
      <c r="B19" t="s">
        <v>9</v>
      </c>
      <c r="C19" s="2">
        <f>C8/$F$8</f>
        <v>0.29473684210526313</v>
      </c>
      <c r="D19" s="2">
        <f>D8/$F$8</f>
        <v>5.2631578947368418E-2</v>
      </c>
      <c r="E19" s="4">
        <f>E8/$F$8</f>
        <v>0.65263157894736845</v>
      </c>
    </row>
    <row r="21" spans="1:6" x14ac:dyDescent="0.25">
      <c r="A21">
        <v>4</v>
      </c>
      <c r="B21" t="s">
        <v>10</v>
      </c>
    </row>
    <row r="22" spans="1:6" x14ac:dyDescent="0.25">
      <c r="D22" t="s">
        <v>11</v>
      </c>
      <c r="E22" t="s">
        <v>12</v>
      </c>
    </row>
    <row r="23" spans="1:6" x14ac:dyDescent="0.25">
      <c r="C23" t="s">
        <v>5</v>
      </c>
      <c r="D23" s="16">
        <f>F7</f>
        <v>4600</v>
      </c>
      <c r="E23" s="16">
        <f>F7</f>
        <v>4600</v>
      </c>
    </row>
    <row r="24" spans="1:6" x14ac:dyDescent="0.25">
      <c r="C24" t="s">
        <v>6</v>
      </c>
      <c r="D24" s="16">
        <f>F8</f>
        <v>9500</v>
      </c>
      <c r="E24" s="16">
        <f>F8</f>
        <v>9500</v>
      </c>
    </row>
    <row r="25" spans="1:6" x14ac:dyDescent="0.25">
      <c r="C25" t="s">
        <v>13</v>
      </c>
      <c r="D25" s="17">
        <f>E12</f>
        <v>13300</v>
      </c>
      <c r="E25" s="17">
        <f>F17</f>
        <v>8760</v>
      </c>
    </row>
    <row r="26" spans="1:6" x14ac:dyDescent="0.25">
      <c r="C26" t="s">
        <v>14</v>
      </c>
      <c r="D26" s="16">
        <f>SUM(D23:D25)</f>
        <v>27400</v>
      </c>
      <c r="E26" s="16">
        <f>SUM(E23:E25)</f>
        <v>22860</v>
      </c>
    </row>
    <row r="27" spans="1:6" x14ac:dyDescent="0.25">
      <c r="C27" t="s">
        <v>15</v>
      </c>
      <c r="D27" s="18">
        <f>D26*0.5</f>
        <v>13700</v>
      </c>
      <c r="E27" s="18">
        <f>E26*0.5</f>
        <v>11430</v>
      </c>
    </row>
    <row r="28" spans="1:6" x14ac:dyDescent="0.25">
      <c r="C28" s="7" t="s">
        <v>16</v>
      </c>
      <c r="D28" s="3">
        <f>D26+D27</f>
        <v>41100</v>
      </c>
      <c r="E28" s="3">
        <f>E26+E27</f>
        <v>34290</v>
      </c>
    </row>
    <row r="30" spans="1:6" x14ac:dyDescent="0.25">
      <c r="B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Fundamental Concepts</vt:lpstr>
      <vt:lpstr>OH 2-22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2025-07-12T13:18:44Z</dcterms:modified>
</cp:coreProperties>
</file>