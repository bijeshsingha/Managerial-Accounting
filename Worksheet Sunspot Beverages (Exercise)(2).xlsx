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6466B518-2F8E-4429-B800-D4E04240E88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cess Costing" sheetId="1" r:id="rId1"/>
    <sheet name="Sheet1" sheetId="4" r:id="rId2"/>
    <sheet name="Reciprocal Method" sheetId="2" r:id="rId3"/>
    <sheet name="Joint vs By Produc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4" l="1"/>
  <c r="D19" i="4"/>
  <c r="J37" i="4" s="1"/>
  <c r="E18" i="4"/>
  <c r="E36" i="4" s="1"/>
  <c r="D18" i="4"/>
  <c r="D36" i="4" s="1"/>
  <c r="E13" i="4"/>
  <c r="E25" i="4" s="1"/>
  <c r="D13" i="4"/>
  <c r="D25" i="4" s="1"/>
  <c r="E12" i="4"/>
  <c r="E30" i="4" s="1"/>
  <c r="D12" i="4"/>
  <c r="D30" i="4" s="1"/>
  <c r="E37" i="4"/>
  <c r="K30" i="4"/>
  <c r="J30" i="4"/>
  <c r="L30" i="4" s="1"/>
  <c r="K37" i="4"/>
  <c r="K18" i="4"/>
  <c r="J18" i="4"/>
  <c r="K14" i="4"/>
  <c r="K25" i="4" s="1"/>
  <c r="J14" i="4"/>
  <c r="J25" i="4" s="1"/>
  <c r="K13" i="4"/>
  <c r="J13" i="4"/>
  <c r="K12" i="4"/>
  <c r="J12" i="4"/>
  <c r="K31" i="1"/>
  <c r="J31" i="1"/>
  <c r="K26" i="1"/>
  <c r="J26" i="1"/>
  <c r="K25" i="1"/>
  <c r="J25" i="1"/>
  <c r="D13" i="1"/>
  <c r="K15" i="4" l="1"/>
  <c r="F36" i="4"/>
  <c r="L37" i="4"/>
  <c r="J15" i="4"/>
  <c r="J19" i="4" s="1"/>
  <c r="E14" i="4"/>
  <c r="D14" i="4"/>
  <c r="E20" i="4"/>
  <c r="E21" i="4" s="1"/>
  <c r="D20" i="4"/>
  <c r="J36" i="4"/>
  <c r="K36" i="4"/>
  <c r="K19" i="4"/>
  <c r="D37" i="4"/>
  <c r="F37" i="4" s="1"/>
  <c r="F38" i="4" s="1"/>
  <c r="I33" i="3"/>
  <c r="I32" i="3"/>
  <c r="I31" i="3"/>
  <c r="F32" i="3"/>
  <c r="F33" i="3" s="1"/>
  <c r="K30" i="1"/>
  <c r="J30" i="1"/>
  <c r="K18" i="1"/>
  <c r="J18" i="1"/>
  <c r="K14" i="1"/>
  <c r="J14" i="1"/>
  <c r="K13" i="1"/>
  <c r="J13" i="1"/>
  <c r="K12" i="1"/>
  <c r="J12" i="1"/>
  <c r="E30" i="1"/>
  <c r="D30" i="1"/>
  <c r="D25" i="1"/>
  <c r="E12" i="1"/>
  <c r="E19" i="1"/>
  <c r="E18" i="1"/>
  <c r="D19" i="1"/>
  <c r="D18" i="1"/>
  <c r="E13" i="1"/>
  <c r="E25" i="1" s="1"/>
  <c r="D12" i="1"/>
  <c r="F10" i="3"/>
  <c r="E9" i="3"/>
  <c r="E8" i="3"/>
  <c r="F5" i="3"/>
  <c r="E4" i="3"/>
  <c r="G4" i="3" s="1"/>
  <c r="G3" i="3"/>
  <c r="G5" i="3" s="1"/>
  <c r="E3" i="3"/>
  <c r="E5" i="3" s="1"/>
  <c r="D21" i="4" l="1"/>
  <c r="J26" i="4"/>
  <c r="J27" i="4" s="1"/>
  <c r="J40" i="4" s="1"/>
  <c r="J31" i="4"/>
  <c r="D26" i="4"/>
  <c r="D27" i="4" s="1"/>
  <c r="D31" i="4"/>
  <c r="D32" i="4" s="1"/>
  <c r="E26" i="4"/>
  <c r="E27" i="4" s="1"/>
  <c r="E40" i="4" s="1"/>
  <c r="E31" i="4"/>
  <c r="E32" i="4" s="1"/>
  <c r="E41" i="4" s="1"/>
  <c r="L36" i="4"/>
  <c r="L38" i="4" s="1"/>
  <c r="J32" i="4"/>
  <c r="K31" i="4"/>
  <c r="L31" i="4" s="1"/>
  <c r="K26" i="4"/>
  <c r="K27" i="4" s="1"/>
  <c r="K40" i="4" s="1"/>
  <c r="K32" i="4"/>
  <c r="E10" i="3"/>
  <c r="H3" i="3"/>
  <c r="G9" i="3"/>
  <c r="G8" i="3"/>
  <c r="L32" i="4" l="1"/>
  <c r="L33" i="4" s="1"/>
  <c r="F32" i="4"/>
  <c r="D41" i="4"/>
  <c r="F41" i="4" s="1"/>
  <c r="J33" i="4"/>
  <c r="J41" i="4" s="1"/>
  <c r="F27" i="4"/>
  <c r="D40" i="4"/>
  <c r="F40" i="4" s="1"/>
  <c r="K33" i="4"/>
  <c r="K41" i="4" s="1"/>
  <c r="L27" i="4"/>
  <c r="L40" i="4"/>
  <c r="H8" i="3"/>
  <c r="G10" i="3"/>
  <c r="I3" i="3"/>
  <c r="H4" i="3"/>
  <c r="I4" i="3" s="1"/>
  <c r="F42" i="4" l="1"/>
  <c r="L41" i="4"/>
  <c r="L42" i="4" s="1"/>
  <c r="H5" i="3"/>
  <c r="I8" i="3"/>
  <c r="H9" i="3"/>
  <c r="I9" i="3" s="1"/>
  <c r="K4" i="3"/>
  <c r="L4" i="3" s="1"/>
  <c r="J4" i="3"/>
  <c r="K3" i="3"/>
  <c r="J3" i="3"/>
  <c r="J9" i="3" l="1"/>
  <c r="K9" i="3"/>
  <c r="L9" i="3" s="1"/>
  <c r="J8" i="3"/>
  <c r="K8" i="3"/>
  <c r="H10" i="3"/>
  <c r="L3" i="3"/>
  <c r="K5" i="3"/>
  <c r="K10" i="3" l="1"/>
  <c r="L8" i="3"/>
  <c r="F24" i="2" l="1"/>
  <c r="F25" i="2" s="1"/>
  <c r="H20" i="2"/>
  <c r="D17" i="2" a="1"/>
  <c r="G17" i="2" s="1"/>
  <c r="D16" i="2" a="1"/>
  <c r="D16" i="2" s="1"/>
  <c r="C12" i="2"/>
  <c r="B12" i="2"/>
  <c r="A11" i="2"/>
  <c r="E10" i="2"/>
  <c r="A10" i="2"/>
  <c r="F9" i="2"/>
  <c r="H19" i="2" s="1"/>
  <c r="E9" i="2"/>
  <c r="A9" i="2"/>
  <c r="A8" i="2"/>
  <c r="C7" i="2"/>
  <c r="B7" i="2"/>
  <c r="D19" i="2" l="1"/>
  <c r="E19" i="2"/>
  <c r="F10" i="2"/>
  <c r="E20" i="2" s="1"/>
  <c r="F19" i="2"/>
  <c r="G19" i="2"/>
  <c r="E16" i="2"/>
  <c r="F20" i="2"/>
  <c r="D24" i="2"/>
  <c r="D25" i="2" s="1"/>
  <c r="G16" i="2"/>
  <c r="F16" i="2"/>
  <c r="E24" i="2"/>
  <c r="E25" i="2" s="1"/>
  <c r="G24" i="2"/>
  <c r="G25" i="2" s="1"/>
  <c r="D17" i="2"/>
  <c r="E17" i="2"/>
  <c r="E21" i="2" s="1"/>
  <c r="F17" i="2"/>
  <c r="F21" i="2" s="1"/>
  <c r="K37" i="1"/>
  <c r="J37" i="1"/>
  <c r="K15" i="1"/>
  <c r="K19" i="1" s="1"/>
  <c r="K32" i="1" s="1"/>
  <c r="E37" i="1"/>
  <c r="D37" i="1"/>
  <c r="F37" i="1" s="1"/>
  <c r="K36" i="1"/>
  <c r="J36" i="1"/>
  <c r="L36" i="1" l="1"/>
  <c r="G20" i="2"/>
  <c r="G21" i="2" s="1"/>
  <c r="D20" i="2"/>
  <c r="D21" i="2" s="1"/>
  <c r="H17" i="2"/>
  <c r="H21" i="2" s="1"/>
  <c r="G26" i="2"/>
  <c r="G27" i="2" s="1"/>
  <c r="L37" i="1"/>
  <c r="L38" i="1" s="1"/>
  <c r="J15" i="1"/>
  <c r="J19" i="1" s="1"/>
  <c r="J32" i="1" s="1"/>
  <c r="L30" i="1"/>
  <c r="D36" i="1"/>
  <c r="D14" i="1"/>
  <c r="D21" i="1" s="1"/>
  <c r="E14" i="1"/>
  <c r="E21" i="1" s="1"/>
  <c r="D20" i="1"/>
  <c r="E20" i="1"/>
  <c r="E36" i="1"/>
  <c r="E26" i="1" l="1"/>
  <c r="E31" i="1"/>
  <c r="D31" i="1"/>
  <c r="D26" i="1"/>
  <c r="F26" i="2"/>
  <c r="F27" i="2" s="1"/>
  <c r="E26" i="2"/>
  <c r="E27" i="2" s="1"/>
  <c r="D26" i="2"/>
  <c r="D27" i="2" s="1"/>
  <c r="L32" i="1"/>
  <c r="J33" i="1"/>
  <c r="J41" i="1" s="1"/>
  <c r="K33" i="1"/>
  <c r="K41" i="1" s="1"/>
  <c r="K27" i="1"/>
  <c r="K40" i="1" s="1"/>
  <c r="J27" i="1"/>
  <c r="J40" i="1" s="1"/>
  <c r="F36" i="1"/>
  <c r="F38" i="1" s="1"/>
  <c r="F28" i="2" l="1"/>
  <c r="F29" i="2" s="1"/>
  <c r="L31" i="1"/>
  <c r="L33" i="1" s="1"/>
  <c r="L40" i="1"/>
  <c r="L41" i="1"/>
  <c r="L27" i="1"/>
  <c r="D32" i="1"/>
  <c r="D27" i="1"/>
  <c r="E32" i="1"/>
  <c r="E41" i="1" s="1"/>
  <c r="E27" i="1"/>
  <c r="E40" i="1" s="1"/>
  <c r="G28" i="2" l="1"/>
  <c r="G29" i="2" s="1"/>
  <c r="E28" i="2"/>
  <c r="E29" i="2" s="1"/>
  <c r="D28" i="2"/>
  <c r="D29" i="2" s="1"/>
  <c r="L42" i="1"/>
  <c r="F32" i="1"/>
  <c r="D41" i="1"/>
  <c r="F41" i="1" s="1"/>
  <c r="D40" i="1"/>
  <c r="F40" i="1" s="1"/>
  <c r="F27" i="1"/>
  <c r="G30" i="2" l="1"/>
  <c r="F42" i="1"/>
  <c r="F30" i="2" l="1"/>
  <c r="F31" i="2" s="1"/>
  <c r="E30" i="2"/>
  <c r="E31" i="2" s="1"/>
  <c r="D30" i="2"/>
  <c r="D31" i="2" s="1"/>
  <c r="G31" i="2"/>
  <c r="F32" i="2" l="1"/>
  <c r="G32" i="2" l="1"/>
  <c r="G33" i="2" s="1"/>
  <c r="E32" i="2"/>
  <c r="E33" i="2" s="1"/>
  <c r="D32" i="2"/>
  <c r="D33" i="2" s="1"/>
  <c r="F33" i="2"/>
  <c r="G34" i="2" l="1"/>
  <c r="F34" i="2" l="1"/>
  <c r="F35" i="2" s="1"/>
  <c r="E34" i="2"/>
  <c r="E35" i="2" s="1"/>
  <c r="D34" i="2"/>
  <c r="D35" i="2" s="1"/>
  <c r="G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tc={CD41CB35-272F-4B17-9314-F839D36F7729}</author>
    <author>Author</author>
  </authors>
  <commentList>
    <comment ref="E2" authorId="0" shapeId="0" xr:uid="{CD41CB35-272F-4B17-9314-F839D36F7729}">
      <text>
        <t>[Threaded comment]
Your version of Excel allows you to read this threaded comment; however, any edits to it will get removed if the file is opened in a newer version of Excel. Learn more: https://go.microsoft.com/fwlink/?linkid=870924
Comment:
    (Manufacturing OH and labor)</t>
      </text>
    </comment>
    <comment ref="J15" authorId="1" shapeId="0" xr:uid="{6AEB7534-E2BD-4A8B-9D51-7601F78F4B8B}">
      <text>
        <r>
          <rPr>
            <sz val="9"/>
            <color indexed="81"/>
            <rFont val="Tahoma"/>
            <family val="2"/>
          </rPr>
          <t>Hpw much material efforts this accounting period</t>
        </r>
      </text>
    </comment>
    <comment ref="K19" authorId="1" shapeId="0" xr:uid="{8A258D22-AF50-4E2C-864F-68558CD728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comparing this accounting period with this accounting period</t>
        </r>
      </text>
    </comment>
    <comment ref="E26" authorId="1" shapeId="0" xr:uid="{44F7E0AF-70AB-4B63-86CA-D490F25095A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outcome of weighted avg of cost inccured in last accounting period and this accounting period</t>
        </r>
      </text>
    </comment>
    <comment ref="K27" authorId="1" shapeId="0" xr:uid="{CFA4F71D-0FDE-4C4C-BB41-3B555F6869E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it will go in balance sheet</t>
        </r>
      </text>
    </comment>
    <comment ref="I29" authorId="1" shapeId="0" xr:uid="{21729FB0-544D-44BA-A295-9A3AE96884A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computing completed WIP, COGS</t>
        </r>
      </text>
    </comment>
    <comment ref="J33" authorId="1" shapeId="0" xr:uid="{3F784050-373C-40BD-8D09-392D5EC34CB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how much cost has incurred to complete the units produced in this period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tc={7CDB3386-39AD-4AF3-9640-D666A36CD9E3}</author>
  </authors>
  <commentList>
    <comment ref="E2" authorId="0" shapeId="0" xr:uid="{7CDB3386-39AD-4AF3-9640-D666A36CD9E3}">
      <text>
        <t>[Threaded comment]
Your version of Excel allows you to read this threaded comment; however, any edits to it will get removed if the file is opened in a newer version of Excel. Learn more: https://go.microsoft.com/fwlink/?linkid=870924
Comment:
    (Manufacturing OH and labor)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3" authorId="0" shapeId="0" xr:uid="{6622B412-EB81-4E99-968A-7E62290154D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 should go ahead and sell because I am incurring 600 and my revenue is 2000</t>
        </r>
      </text>
    </comment>
    <comment ref="G3" authorId="0" shapeId="0" xr:uid="{819B00C7-C8CC-48AC-8ED3-197E48D57385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proceeds from the by product
2000-600
since it is positive I choose to process further
(business choice)</t>
        </r>
      </text>
    </comment>
    <comment ref="F4" authorId="0" shapeId="0" xr:uid="{FA088D7B-280C-4DDD-8610-721D4C23AF8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 will incurr, I have no choice
only choice is to invest 600 for A </t>
        </r>
      </text>
    </comment>
    <comment ref="H5" authorId="0" shapeId="0" xr:uid="{82E136F7-950E-4E4D-BA91-992D9AB6BD6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cost incurred prior to the split of A and B,
Purpose is to manufacture B, A comes in as by product, 3000 I incurr anyway</t>
        </r>
      </text>
    </comment>
    <comment ref="H9" authorId="0" shapeId="0" xr:uid="{101E7E48-1CE0-4B66-8BE2-BAD033290E5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3000 - 1600
</t>
        </r>
      </text>
    </comment>
  </commentList>
</comments>
</file>

<file path=xl/sharedStrings.xml><?xml version="1.0" encoding="utf-8"?>
<sst xmlns="http://schemas.openxmlformats.org/spreadsheetml/2006/main" count="256" uniqueCount="119">
  <si>
    <t>Units</t>
  </si>
  <si>
    <t>Material</t>
  </si>
  <si>
    <t>Conversion</t>
  </si>
  <si>
    <t>Percent Completed</t>
  </si>
  <si>
    <t>Started in Production</t>
  </si>
  <si>
    <t>Completed</t>
  </si>
  <si>
    <t>Equivalent Units of Production</t>
  </si>
  <si>
    <t>Transferred out</t>
  </si>
  <si>
    <t>Eq units of Production</t>
  </si>
  <si>
    <t>Cost per Equivalent Unit</t>
  </si>
  <si>
    <t>Cost added during the period</t>
  </si>
  <si>
    <t>Total Cost</t>
  </si>
  <si>
    <t>Cost per Equivalent unit</t>
  </si>
  <si>
    <t>Assigning Cost to Units</t>
  </si>
  <si>
    <t>Equivalent Units</t>
  </si>
  <si>
    <t>Total</t>
  </si>
  <si>
    <t>Units Completed &amp; transferred out</t>
  </si>
  <si>
    <t>Completed units</t>
  </si>
  <si>
    <t>Cost of Units trasnferred out</t>
  </si>
  <si>
    <t>Cost Reconciliation</t>
  </si>
  <si>
    <t>COP added during the period</t>
  </si>
  <si>
    <t>TOTAL COST</t>
  </si>
  <si>
    <t>Cost of Units transferred</t>
  </si>
  <si>
    <t>Opening WIP</t>
  </si>
  <si>
    <t>Closing WIP</t>
  </si>
  <si>
    <t>Eq units in closing WIP</t>
  </si>
  <si>
    <t>Cost of closing WIP</t>
  </si>
  <si>
    <t>Cost of Opening WIP</t>
  </si>
  <si>
    <t>Cost of Closing WIP</t>
  </si>
  <si>
    <t>Eq units need to complete opening WIP</t>
  </si>
  <si>
    <t>Units started &amp; completed during June</t>
  </si>
  <si>
    <t>Eq units in Closing WIP</t>
  </si>
  <si>
    <t>Cost to complete units in Opening WIP</t>
  </si>
  <si>
    <t>Cost of units started &amp; completed</t>
  </si>
  <si>
    <t>Cost of Units transferred out</t>
  </si>
  <si>
    <t>Eq units of Production during the period</t>
  </si>
  <si>
    <t>Ex 4-15; 4A-11</t>
  </si>
  <si>
    <t>Production</t>
  </si>
  <si>
    <t>Pediatrics</t>
  </si>
  <si>
    <t>Equation</t>
  </si>
  <si>
    <t>Dental</t>
  </si>
  <si>
    <t>Xray = 5000 + 0.2*Lab</t>
  </si>
  <si>
    <t>Service</t>
  </si>
  <si>
    <t>Xray</t>
  </si>
  <si>
    <t>Lab = 4400 + 0.1*Xray</t>
  </si>
  <si>
    <t>Lab</t>
  </si>
  <si>
    <t>Xray = 5000 + .2*(4400 + .1*Xray)</t>
  </si>
  <si>
    <t>Solving for Xray,</t>
  </si>
  <si>
    <t>Department</t>
  </si>
  <si>
    <t>TOTAL</t>
  </si>
  <si>
    <t>Original Cost</t>
  </si>
  <si>
    <t>Distribution</t>
  </si>
  <si>
    <t>X</t>
  </si>
  <si>
    <t>Y</t>
  </si>
  <si>
    <t>Joint Product</t>
  </si>
  <si>
    <t>SP pu</t>
  </si>
  <si>
    <t>Revenue</t>
  </si>
  <si>
    <t>Cost beyond split off</t>
  </si>
  <si>
    <t>Diff</t>
  </si>
  <si>
    <t>Joint Cost</t>
  </si>
  <si>
    <t>Full cost</t>
  </si>
  <si>
    <t>Cost pu</t>
  </si>
  <si>
    <t>Profit</t>
  </si>
  <si>
    <t>Profit pu</t>
  </si>
  <si>
    <t>A</t>
  </si>
  <si>
    <t>B</t>
  </si>
  <si>
    <t>By Product</t>
  </si>
  <si>
    <t>Value of Opening WIP</t>
  </si>
  <si>
    <t>cost added for manufacturing in this particular period</t>
  </si>
  <si>
    <t>FIFO</t>
  </si>
  <si>
    <t>Closing WIP -&gt; coming out of current period production or most recent production</t>
  </si>
  <si>
    <t>Weighted avg method</t>
  </si>
  <si>
    <t>product or byproduct whether it is core business or not</t>
  </si>
  <si>
    <t>Memorendum</t>
  </si>
  <si>
    <t>you can not avoid the by product</t>
  </si>
  <si>
    <t>choose what to do with it</t>
  </si>
  <si>
    <t>do I sell it at that stage itself</t>
  </si>
  <si>
    <t>should I process it further or not</t>
  </si>
  <si>
    <t xml:space="preserve">everything remaining constant if I chose to designate </t>
  </si>
  <si>
    <t>purely determined by incremental profit out of it</t>
  </si>
  <si>
    <t>if I chose to process -&gt; accounting , how to present it in my financials</t>
  </si>
  <si>
    <t>*how to split the 3000 in A and B</t>
  </si>
  <si>
    <t>proceeds out of the by product should be used to offset the main product</t>
  </si>
  <si>
    <t xml:space="preserve">Do I designate A as main product or by product </t>
  </si>
  <si>
    <t>Diff (additional contribution)</t>
  </si>
  <si>
    <t>Accounting start</t>
  </si>
  <si>
    <t>main</t>
  </si>
  <si>
    <t>by-product</t>
  </si>
  <si>
    <t>proportionate cost</t>
  </si>
  <si>
    <t>contribution cost -&gt; 1400, 4500</t>
  </si>
  <si>
    <t xml:space="preserve">in the proportion of the contribution cost </t>
  </si>
  <si>
    <t>In case I consider A as by product I will use it to offset main product</t>
  </si>
  <si>
    <t>How it affect income statement:</t>
  </si>
  <si>
    <t xml:space="preserve">Rev </t>
  </si>
  <si>
    <t>COGS</t>
  </si>
  <si>
    <t>GP</t>
  </si>
  <si>
    <t>what do my product be known for</t>
  </si>
  <si>
    <t>for by product</t>
  </si>
  <si>
    <t>for joint product</t>
  </si>
  <si>
    <t>(cogs)</t>
  </si>
  <si>
    <t>(inventory BS)</t>
  </si>
  <si>
    <t>Eq units</t>
  </si>
  <si>
    <t>Cost of per eq units</t>
  </si>
  <si>
    <t>assignment</t>
  </si>
  <si>
    <t>closing WIP</t>
  </si>
  <si>
    <t>Opening WIP to be completed</t>
  </si>
  <si>
    <t>started and completed this period</t>
  </si>
  <si>
    <t>cost added this period</t>
  </si>
  <si>
    <t>cost per unit</t>
  </si>
  <si>
    <t>transferred out</t>
  </si>
  <si>
    <t>opening WIP</t>
  </si>
  <si>
    <t xml:space="preserve">started and completed this period </t>
  </si>
  <si>
    <t>completed units in opening WIP in this period</t>
  </si>
  <si>
    <t>Eq Units</t>
  </si>
  <si>
    <t>cost of eq units</t>
  </si>
  <si>
    <t xml:space="preserve">assignment </t>
  </si>
  <si>
    <t xml:space="preserve">transferred out </t>
  </si>
  <si>
    <t>Wght avg</t>
  </si>
  <si>
    <t>completed opening WIP from last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</si>
</sst>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_);[Red]\(0\)"/>
    <numFmt numFmtId="167" formatCode="0_);\(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38">
    <xf numFmtId="0" fontId="0" fillId="0" borderId="0" xfId="0"/>
    <xf numFmtId="9" fontId="0" fillId="0" borderId="0" xfId="0" applyNumberFormat="1"/>
    <xf numFmtId="165" fontId="0" fillId="0" borderId="0" xfId="1" applyNumberFormat="1" applyFont="1"/>
    <xf numFmtId="3" fontId="0" fillId="0" borderId="0" xfId="0" applyNumberFormat="1"/>
    <xf numFmtId="0" fontId="2" fillId="0" borderId="0" xfId="0" applyFont="1"/>
    <xf numFmtId="164" fontId="0" fillId="0" borderId="0" xfId="1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5" fontId="0" fillId="0" borderId="1" xfId="0" applyNumberFormat="1" applyBorder="1"/>
    <xf numFmtId="3" fontId="0" fillId="2" borderId="0" xfId="0" applyNumberFormat="1" applyFill="1"/>
    <xf numFmtId="3" fontId="0" fillId="2" borderId="1" xfId="0" applyNumberFormat="1" applyFill="1" applyBorder="1"/>
    <xf numFmtId="165" fontId="0" fillId="2" borderId="0" xfId="1" applyNumberFormat="1" applyFont="1" applyFill="1"/>
    <xf numFmtId="165" fontId="0" fillId="2" borderId="1" xfId="1" applyNumberFormat="1" applyFont="1" applyFill="1" applyBorder="1"/>
    <xf numFmtId="164" fontId="0" fillId="2" borderId="0" xfId="0" applyNumberFormat="1" applyFill="1"/>
    <xf numFmtId="165" fontId="0" fillId="2" borderId="0" xfId="0" applyNumberFormat="1" applyFill="1"/>
    <xf numFmtId="165" fontId="0" fillId="2" borderId="1" xfId="0" applyNumberFormat="1" applyFill="1" applyBorder="1"/>
    <xf numFmtId="0" fontId="4" fillId="0" borderId="0" xfId="2"/>
    <xf numFmtId="0" fontId="5" fillId="0" borderId="0" xfId="2" applyFont="1"/>
    <xf numFmtId="0" fontId="4" fillId="0" borderId="0" xfId="2" quotePrefix="1"/>
    <xf numFmtId="0" fontId="5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6" fillId="3" borderId="0" xfId="2" applyFont="1" applyFill="1"/>
    <xf numFmtId="0" fontId="4" fillId="0" borderId="0" xfId="2" applyAlignment="1">
      <alignment horizontal="left" vertical="top"/>
    </xf>
    <xf numFmtId="9" fontId="5" fillId="0" borderId="0" xfId="3" applyFont="1" applyAlignment="1">
      <alignment horizontal="center"/>
    </xf>
    <xf numFmtId="166" fontId="4" fillId="0" borderId="0" xfId="2" applyNumberFormat="1"/>
    <xf numFmtId="164" fontId="0" fillId="0" borderId="0" xfId="4" applyFont="1"/>
    <xf numFmtId="166" fontId="4" fillId="0" borderId="1" xfId="2" applyNumberFormat="1" applyBorder="1"/>
    <xf numFmtId="164" fontId="0" fillId="0" borderId="1" xfId="4" applyFont="1" applyBorder="1"/>
    <xf numFmtId="0" fontId="5" fillId="0" borderId="2" xfId="2" applyFont="1" applyBorder="1"/>
    <xf numFmtId="164" fontId="5" fillId="0" borderId="2" xfId="4" applyFont="1" applyBorder="1"/>
    <xf numFmtId="167" fontId="5" fillId="0" borderId="2" xfId="4" applyNumberFormat="1" applyFont="1" applyBorder="1"/>
    <xf numFmtId="166" fontId="5" fillId="0" borderId="2" xfId="2" applyNumberFormat="1" applyFont="1" applyBorder="1"/>
    <xf numFmtId="0" fontId="0" fillId="2" borderId="0" xfId="0" applyFill="1"/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</cellXfs>
  <cellStyles count="5">
    <cellStyle name="Comma" xfId="1" builtinId="3"/>
    <cellStyle name="Comma 2" xfId="4" xr:uid="{00000000-0005-0000-0000-000001000000}"/>
    <cellStyle name="Normal" xfId="0" builtinId="0"/>
    <cellStyle name="Normal 2" xfId="2" xr:uid="{00000000-0005-0000-0000-000003000000}"/>
    <cellStyle name="Percen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5-07-24T13:27:47.63" personId="{00000000-0000-0000-0000-000000000000}" id="{CD41CB35-272F-4B17-9314-F839D36F7729}">
    <text>(Manufacturing OH and labor)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" dT="2025-07-24T13:27:47.63" personId="{00000000-0000-0000-0000-000000000000}" id="{7CDB3386-39AD-4AF3-9640-D666A36CD9E3}">
    <text>(Manufacturing OH and labor)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opLeftCell="A9" zoomScale="88" workbookViewId="0">
      <selection sqref="A1:W44"/>
    </sheetView>
  </sheetViews>
  <sheetFormatPr defaultRowHeight="15" x14ac:dyDescent="0.25"/>
  <cols>
    <col min="2" max="2" width="20.5703125" customWidth="1"/>
    <col min="4" max="4" width="18.7109375" bestFit="1" customWidth="1"/>
    <col min="5" max="5" width="10.42578125" customWidth="1"/>
    <col min="6" max="6" width="12.85546875" customWidth="1"/>
    <col min="9" max="9" width="36.7109375" bestFit="1" customWidth="1"/>
    <col min="10" max="11" width="11.28515625" bestFit="1" customWidth="1"/>
    <col min="12" max="12" width="10.140625" bestFit="1" customWidth="1"/>
  </cols>
  <sheetData>
    <row r="1" spans="1:11" x14ac:dyDescent="0.25">
      <c r="A1" s="4" t="s">
        <v>36</v>
      </c>
      <c r="D1" s="4" t="s">
        <v>3</v>
      </c>
    </row>
    <row r="2" spans="1:11" x14ac:dyDescent="0.25">
      <c r="C2" t="s">
        <v>0</v>
      </c>
      <c r="D2" t="s">
        <v>1</v>
      </c>
      <c r="E2" t="s">
        <v>2</v>
      </c>
    </row>
    <row r="3" spans="1:11" x14ac:dyDescent="0.25">
      <c r="B3" t="s">
        <v>23</v>
      </c>
      <c r="C3" s="3">
        <v>30000</v>
      </c>
      <c r="D3" s="1">
        <v>0.65</v>
      </c>
      <c r="E3" s="1">
        <v>0.8</v>
      </c>
    </row>
    <row r="4" spans="1:11" x14ac:dyDescent="0.25">
      <c r="B4" t="s">
        <v>4</v>
      </c>
      <c r="C4" s="3">
        <v>160000</v>
      </c>
    </row>
    <row r="5" spans="1:11" x14ac:dyDescent="0.25">
      <c r="B5" t="s">
        <v>5</v>
      </c>
      <c r="C5" s="3">
        <v>150000</v>
      </c>
    </row>
    <row r="6" spans="1:11" x14ac:dyDescent="0.25">
      <c r="B6" t="s">
        <v>24</v>
      </c>
      <c r="C6" s="3">
        <v>40000</v>
      </c>
      <c r="D6" s="1">
        <v>0.6</v>
      </c>
      <c r="E6" s="1">
        <v>0.4</v>
      </c>
    </row>
    <row r="7" spans="1:11" x14ac:dyDescent="0.25">
      <c r="C7" s="3"/>
      <c r="D7" s="1"/>
      <c r="E7" s="1"/>
    </row>
    <row r="8" spans="1:11" x14ac:dyDescent="0.25">
      <c r="B8" t="s">
        <v>23</v>
      </c>
      <c r="D8" s="2">
        <v>25200</v>
      </c>
      <c r="E8" s="2">
        <v>24800</v>
      </c>
      <c r="F8" t="s">
        <v>67</v>
      </c>
    </row>
    <row r="9" spans="1:11" x14ac:dyDescent="0.25">
      <c r="B9" t="s">
        <v>10</v>
      </c>
      <c r="D9" s="2">
        <v>334800</v>
      </c>
      <c r="E9" s="2">
        <v>238700</v>
      </c>
      <c r="F9" t="s">
        <v>68</v>
      </c>
    </row>
    <row r="10" spans="1:11" x14ac:dyDescent="0.25">
      <c r="B10" t="s">
        <v>71</v>
      </c>
      <c r="I10" t="s">
        <v>69</v>
      </c>
    </row>
    <row r="11" spans="1:11" x14ac:dyDescent="0.25">
      <c r="A11" s="4">
        <v>1</v>
      </c>
      <c r="B11" s="4" t="s">
        <v>6</v>
      </c>
      <c r="D11" t="s">
        <v>1</v>
      </c>
      <c r="E11" t="s">
        <v>2</v>
      </c>
      <c r="H11" s="4">
        <v>1</v>
      </c>
      <c r="I11" s="4" t="s">
        <v>6</v>
      </c>
      <c r="J11" t="s">
        <v>1</v>
      </c>
      <c r="K11" t="s">
        <v>2</v>
      </c>
    </row>
    <row r="12" spans="1:11" x14ac:dyDescent="0.25">
      <c r="B12" t="s">
        <v>7</v>
      </c>
      <c r="D12" s="10">
        <f>C5</f>
        <v>150000</v>
      </c>
      <c r="E12" s="10">
        <f>C5</f>
        <v>150000</v>
      </c>
      <c r="I12" t="s">
        <v>29</v>
      </c>
      <c r="J12" s="10">
        <f>C3*(1-D3)</f>
        <v>10500</v>
      </c>
      <c r="K12" s="10">
        <f>C3*(1-E3)</f>
        <v>5999.9999999999991</v>
      </c>
    </row>
    <row r="13" spans="1:11" x14ac:dyDescent="0.25">
      <c r="B13" t="s">
        <v>25</v>
      </c>
      <c r="D13" s="11">
        <f>C6*D6</f>
        <v>24000</v>
      </c>
      <c r="E13" s="11">
        <f>C6*E6</f>
        <v>16000</v>
      </c>
      <c r="I13" t="s">
        <v>30</v>
      </c>
      <c r="J13" s="10">
        <f>C5-C3</f>
        <v>120000</v>
      </c>
      <c r="K13" s="10">
        <f>C5-C3</f>
        <v>120000</v>
      </c>
    </row>
    <row r="14" spans="1:11" x14ac:dyDescent="0.25">
      <c r="B14" t="s">
        <v>8</v>
      </c>
      <c r="D14" s="3">
        <f>SUM(D12:D13)</f>
        <v>174000</v>
      </c>
      <c r="E14" s="3">
        <f>SUM(E12:E13)</f>
        <v>166000</v>
      </c>
      <c r="I14" t="s">
        <v>31</v>
      </c>
      <c r="J14" s="11">
        <f>$C$6*D6</f>
        <v>24000</v>
      </c>
      <c r="K14" s="11">
        <f>$C$6*E6</f>
        <v>16000</v>
      </c>
    </row>
    <row r="15" spans="1:11" x14ac:dyDescent="0.25">
      <c r="I15" t="s">
        <v>35</v>
      </c>
      <c r="J15" s="3">
        <f>SUM(J12:J14)</f>
        <v>154500</v>
      </c>
      <c r="K15" s="3">
        <f>SUM(K12:K14)</f>
        <v>142000</v>
      </c>
    </row>
    <row r="17" spans="1:16" x14ac:dyDescent="0.25">
      <c r="A17" s="4">
        <v>2</v>
      </c>
      <c r="B17" s="4" t="s">
        <v>9</v>
      </c>
      <c r="H17" s="4">
        <v>2</v>
      </c>
      <c r="I17" s="4" t="s">
        <v>9</v>
      </c>
    </row>
    <row r="18" spans="1:16" x14ac:dyDescent="0.25">
      <c r="B18" t="s">
        <v>23</v>
      </c>
      <c r="D18" s="12">
        <f>D8</f>
        <v>25200</v>
      </c>
      <c r="E18" s="12">
        <f>E8</f>
        <v>24800</v>
      </c>
      <c r="I18" t="s">
        <v>10</v>
      </c>
      <c r="J18" s="15">
        <f>D9</f>
        <v>334800</v>
      </c>
      <c r="K18" s="15">
        <f>E9</f>
        <v>238700</v>
      </c>
    </row>
    <row r="19" spans="1:16" x14ac:dyDescent="0.25">
      <c r="B19" t="s">
        <v>10</v>
      </c>
      <c r="D19" s="13">
        <f>D9</f>
        <v>334800</v>
      </c>
      <c r="E19" s="13">
        <f>E9</f>
        <v>238700</v>
      </c>
      <c r="I19" t="s">
        <v>12</v>
      </c>
      <c r="J19" s="6">
        <f>J18/J15</f>
        <v>2.1669902912621359</v>
      </c>
      <c r="K19" s="6">
        <f>K18/K15</f>
        <v>1.6809859154929578</v>
      </c>
      <c r="P19" t="s">
        <v>70</v>
      </c>
    </row>
    <row r="20" spans="1:16" x14ac:dyDescent="0.25">
      <c r="B20" s="4" t="s">
        <v>11</v>
      </c>
      <c r="D20" s="2">
        <f>SUM(D18:D19)</f>
        <v>360000</v>
      </c>
      <c r="E20" s="2">
        <f>SUM(E18:E19)</f>
        <v>263500</v>
      </c>
    </row>
    <row r="21" spans="1:16" x14ac:dyDescent="0.25">
      <c r="B21" t="s">
        <v>12</v>
      </c>
      <c r="D21" s="5">
        <f>D20/D14</f>
        <v>2.0689655172413794</v>
      </c>
      <c r="E21" s="5">
        <f>E20/E14</f>
        <v>1.5873493975903614</v>
      </c>
    </row>
    <row r="22" spans="1:16" x14ac:dyDescent="0.25">
      <c r="D22" s="2"/>
      <c r="E22" s="2"/>
    </row>
    <row r="23" spans="1:16" x14ac:dyDescent="0.25">
      <c r="A23" s="4">
        <v>3</v>
      </c>
      <c r="B23" s="4" t="s">
        <v>13</v>
      </c>
      <c r="D23" t="s">
        <v>1</v>
      </c>
      <c r="E23" t="s">
        <v>2</v>
      </c>
      <c r="F23" t="s">
        <v>15</v>
      </c>
      <c r="H23" s="4">
        <v>3</v>
      </c>
      <c r="I23" s="4" t="s">
        <v>13</v>
      </c>
      <c r="J23" t="s">
        <v>1</v>
      </c>
      <c r="K23" t="s">
        <v>2</v>
      </c>
      <c r="L23" t="s">
        <v>15</v>
      </c>
    </row>
    <row r="24" spans="1:16" x14ac:dyDescent="0.25">
      <c r="B24" s="8" t="s">
        <v>24</v>
      </c>
      <c r="I24" s="8" t="s">
        <v>24</v>
      </c>
    </row>
    <row r="25" spans="1:16" x14ac:dyDescent="0.25">
      <c r="B25" t="s">
        <v>14</v>
      </c>
      <c r="D25" s="10">
        <f>D13</f>
        <v>24000</v>
      </c>
      <c r="E25" s="10">
        <f>E13</f>
        <v>16000</v>
      </c>
      <c r="I25" t="s">
        <v>14</v>
      </c>
      <c r="J25" s="10">
        <f>J14</f>
        <v>24000</v>
      </c>
      <c r="K25" s="10">
        <f>K14</f>
        <v>16000</v>
      </c>
    </row>
    <row r="26" spans="1:16" x14ac:dyDescent="0.25">
      <c r="B26" t="s">
        <v>12</v>
      </c>
      <c r="D26" s="14">
        <f>D21</f>
        <v>2.0689655172413794</v>
      </c>
      <c r="E26" s="14">
        <f>E21</f>
        <v>1.5873493975903614</v>
      </c>
      <c r="I26" t="s">
        <v>12</v>
      </c>
      <c r="J26" s="14">
        <f>J19</f>
        <v>2.1669902912621359</v>
      </c>
      <c r="K26" s="14">
        <f>K19</f>
        <v>1.6809859154929578</v>
      </c>
    </row>
    <row r="27" spans="1:16" x14ac:dyDescent="0.25">
      <c r="B27" t="s">
        <v>26</v>
      </c>
      <c r="D27" s="7">
        <f>D25*D26</f>
        <v>49655.172413793109</v>
      </c>
      <c r="E27" s="7">
        <f>E25*E26</f>
        <v>25397.590361445782</v>
      </c>
      <c r="F27" s="7">
        <f>SUM(D27:E27)</f>
        <v>75052.762775238894</v>
      </c>
      <c r="I27" t="s">
        <v>26</v>
      </c>
      <c r="J27" s="7">
        <f>J25*J26</f>
        <v>52007.76699029126</v>
      </c>
      <c r="K27" s="7">
        <f>K25*K26</f>
        <v>26895.774647887327</v>
      </c>
      <c r="L27" s="7">
        <f>SUM(J27:K27)</f>
        <v>78903.541638178591</v>
      </c>
      <c r="M27" t="s">
        <v>100</v>
      </c>
    </row>
    <row r="29" spans="1:16" x14ac:dyDescent="0.25">
      <c r="B29" s="8" t="s">
        <v>16</v>
      </c>
      <c r="I29" s="8" t="s">
        <v>16</v>
      </c>
    </row>
    <row r="30" spans="1:16" x14ac:dyDescent="0.25">
      <c r="B30" t="s">
        <v>17</v>
      </c>
      <c r="D30" s="10">
        <f>C5</f>
        <v>150000</v>
      </c>
      <c r="E30" s="10">
        <f>C5</f>
        <v>150000</v>
      </c>
      <c r="I30" t="s">
        <v>27</v>
      </c>
      <c r="J30" s="15">
        <f>D8</f>
        <v>25200</v>
      </c>
      <c r="K30" s="15">
        <f>E8</f>
        <v>24800</v>
      </c>
      <c r="L30" s="7">
        <f>SUM(J30:K30)</f>
        <v>50000</v>
      </c>
    </row>
    <row r="31" spans="1:16" x14ac:dyDescent="0.25">
      <c r="B31" t="s">
        <v>12</v>
      </c>
      <c r="D31" s="14">
        <f>D21</f>
        <v>2.0689655172413794</v>
      </c>
      <c r="E31" s="14">
        <f>E21</f>
        <v>1.5873493975903614</v>
      </c>
      <c r="I31" t="s">
        <v>32</v>
      </c>
      <c r="J31" s="14">
        <f>J12*J19</f>
        <v>22753.398058252427</v>
      </c>
      <c r="K31" s="14">
        <f>K12*K19</f>
        <v>10085.915492957745</v>
      </c>
      <c r="L31" s="7">
        <f>SUM(J31:K31)</f>
        <v>32839.313551210173</v>
      </c>
    </row>
    <row r="32" spans="1:16" x14ac:dyDescent="0.25">
      <c r="B32" t="s">
        <v>18</v>
      </c>
      <c r="D32" s="7">
        <f>D30*D31</f>
        <v>310344.8275862069</v>
      </c>
      <c r="E32" s="7">
        <f>E30*E31</f>
        <v>238102.40963855421</v>
      </c>
      <c r="F32" s="7">
        <f>SUM(D32:E32)</f>
        <v>548447.23722476116</v>
      </c>
      <c r="I32" t="s">
        <v>33</v>
      </c>
      <c r="J32" s="16">
        <f>J13*J19</f>
        <v>260038.83495145632</v>
      </c>
      <c r="K32" s="16">
        <f>K13*K19</f>
        <v>201718.30985915495</v>
      </c>
      <c r="L32" s="9">
        <f>SUM(J32:K32)</f>
        <v>461757.14481061127</v>
      </c>
    </row>
    <row r="33" spans="1:13" x14ac:dyDescent="0.25">
      <c r="I33" t="s">
        <v>34</v>
      </c>
      <c r="J33" s="7">
        <f>SUM(J30:J32)</f>
        <v>307992.23300970875</v>
      </c>
      <c r="K33" s="7">
        <f>SUM(K30:K32)</f>
        <v>236604.2253521127</v>
      </c>
      <c r="L33" s="7">
        <f>SUM(L30:L32)</f>
        <v>544596.45836182148</v>
      </c>
      <c r="M33" t="s">
        <v>99</v>
      </c>
    </row>
    <row r="35" spans="1:13" x14ac:dyDescent="0.25">
      <c r="A35" s="4">
        <v>4</v>
      </c>
      <c r="B35" s="4" t="s">
        <v>19</v>
      </c>
      <c r="H35" s="4">
        <v>4</v>
      </c>
      <c r="I35" s="4" t="s">
        <v>19</v>
      </c>
    </row>
    <row r="36" spans="1:13" x14ac:dyDescent="0.25">
      <c r="B36" t="s">
        <v>27</v>
      </c>
      <c r="D36" s="7">
        <f>D18</f>
        <v>25200</v>
      </c>
      <c r="E36" s="7">
        <f>E18</f>
        <v>24800</v>
      </c>
      <c r="F36" s="7">
        <f>SUM(D36:E36)</f>
        <v>50000</v>
      </c>
      <c r="I36" t="s">
        <v>27</v>
      </c>
      <c r="J36" s="7">
        <f>D18</f>
        <v>25200</v>
      </c>
      <c r="K36" s="7">
        <f>E18</f>
        <v>24800</v>
      </c>
      <c r="L36" s="7">
        <f>SUM(J36:K36)</f>
        <v>50000</v>
      </c>
    </row>
    <row r="37" spans="1:13" x14ac:dyDescent="0.25">
      <c r="B37" t="s">
        <v>20</v>
      </c>
      <c r="D37" s="7">
        <f>D19</f>
        <v>334800</v>
      </c>
      <c r="E37" s="7">
        <f>E19</f>
        <v>238700</v>
      </c>
      <c r="F37" s="9">
        <f>SUM(D37:E37)</f>
        <v>573500</v>
      </c>
      <c r="I37" t="s">
        <v>20</v>
      </c>
      <c r="J37" s="7">
        <f t="shared" ref="J37" si="0">D19</f>
        <v>334800</v>
      </c>
      <c r="K37" s="7">
        <f t="shared" ref="K37" si="1">E19</f>
        <v>238700</v>
      </c>
      <c r="L37" s="9">
        <f>SUM(J37:K37)</f>
        <v>573500</v>
      </c>
    </row>
    <row r="38" spans="1:13" x14ac:dyDescent="0.25">
      <c r="B38" t="s">
        <v>21</v>
      </c>
      <c r="F38" s="7">
        <f>SUM(F36:F37)</f>
        <v>623500</v>
      </c>
      <c r="I38" t="s">
        <v>21</v>
      </c>
      <c r="L38" s="7">
        <f>SUM(L36:L37)</f>
        <v>623500</v>
      </c>
    </row>
    <row r="40" spans="1:13" x14ac:dyDescent="0.25">
      <c r="B40" t="s">
        <v>28</v>
      </c>
      <c r="D40" s="7">
        <f>D27</f>
        <v>49655.172413793109</v>
      </c>
      <c r="E40" s="7">
        <f>E27</f>
        <v>25397.590361445782</v>
      </c>
      <c r="F40" s="7">
        <f>SUM(D40:E40)</f>
        <v>75052.762775238894</v>
      </c>
      <c r="I40" t="s">
        <v>28</v>
      </c>
      <c r="J40" s="7">
        <f>J27</f>
        <v>52007.76699029126</v>
      </c>
      <c r="K40" s="7">
        <f>K27</f>
        <v>26895.774647887327</v>
      </c>
      <c r="L40" s="7">
        <f>SUM(J40:K40)</f>
        <v>78903.541638178591</v>
      </c>
    </row>
    <row r="41" spans="1:13" x14ac:dyDescent="0.25">
      <c r="B41" t="s">
        <v>22</v>
      </c>
      <c r="D41" s="7">
        <f>D32</f>
        <v>310344.8275862069</v>
      </c>
      <c r="E41" s="7">
        <f>E32</f>
        <v>238102.40963855421</v>
      </c>
      <c r="F41" s="9">
        <f>SUM(D41:E41)</f>
        <v>548447.23722476116</v>
      </c>
      <c r="I41" t="s">
        <v>22</v>
      </c>
      <c r="J41" s="7">
        <f>J33</f>
        <v>307992.23300970875</v>
      </c>
      <c r="K41" s="7">
        <f>K33</f>
        <v>236604.2253521127</v>
      </c>
      <c r="L41" s="9">
        <f>SUM(J41:K41)</f>
        <v>544596.45836182148</v>
      </c>
    </row>
    <row r="42" spans="1:13" x14ac:dyDescent="0.25">
      <c r="F42" s="7">
        <f>SUM(F40:F41)</f>
        <v>623500</v>
      </c>
      <c r="L42" s="7">
        <f>SUM(L40:L41)</f>
        <v>623500.00000000012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ABEA-9D79-456C-B104-28FDE9678526}">
  <dimension ref="A1:W42"/>
  <sheetViews>
    <sheetView tabSelected="1" topLeftCell="I7" zoomScale="130" zoomScaleNormal="130" workbookViewId="0">
      <selection activeCell="I15" sqref="I15"/>
    </sheetView>
  </sheetViews>
  <sheetFormatPr defaultRowHeight="15" x14ac:dyDescent="0.25"/>
  <cols>
    <col min="1" max="1" width="9.42578125" bestFit="1" customWidth="1"/>
    <col min="2" max="2" width="31.28515625" customWidth="1"/>
    <col min="3" max="3" width="9.42578125" bestFit="1" customWidth="1"/>
    <col min="4" max="4" width="15.7109375" customWidth="1"/>
    <col min="5" max="5" width="15.28515625" customWidth="1"/>
    <col min="6" max="6" width="9.7109375" bestFit="1" customWidth="1"/>
    <col min="8" max="8" width="9.42578125" bestFit="1" customWidth="1"/>
    <col min="9" max="9" width="43" customWidth="1"/>
    <col min="10" max="11" width="10.85546875" bestFit="1" customWidth="1"/>
    <col min="12" max="12" width="9.7109375" bestFit="1" customWidth="1"/>
    <col min="17" max="17" width="5" customWidth="1"/>
  </cols>
  <sheetData>
    <row r="1" spans="1:23" x14ac:dyDescent="0.25">
      <c r="A1" s="4" t="s">
        <v>36</v>
      </c>
      <c r="D1" s="4" t="s">
        <v>3</v>
      </c>
    </row>
    <row r="2" spans="1:23" x14ac:dyDescent="0.25">
      <c r="C2" t="s">
        <v>0</v>
      </c>
      <c r="D2" t="s">
        <v>1</v>
      </c>
      <c r="E2" t="s">
        <v>2</v>
      </c>
    </row>
    <row r="3" spans="1:23" x14ac:dyDescent="0.25">
      <c r="B3" t="s">
        <v>23</v>
      </c>
      <c r="C3" s="3">
        <v>30000</v>
      </c>
      <c r="D3" s="1">
        <v>0.65</v>
      </c>
      <c r="E3" s="1">
        <v>0.8</v>
      </c>
    </row>
    <row r="4" spans="1:23" x14ac:dyDescent="0.25">
      <c r="B4" t="s">
        <v>4</v>
      </c>
      <c r="C4" s="3">
        <v>160000</v>
      </c>
    </row>
    <row r="5" spans="1:23" x14ac:dyDescent="0.25">
      <c r="B5" t="s">
        <v>5</v>
      </c>
      <c r="C5" s="3">
        <v>150000</v>
      </c>
    </row>
    <row r="6" spans="1:23" x14ac:dyDescent="0.25">
      <c r="B6" t="s">
        <v>24</v>
      </c>
      <c r="C6" s="3">
        <v>40000</v>
      </c>
      <c r="D6" s="1">
        <v>0.6</v>
      </c>
      <c r="E6" s="1">
        <v>0.4</v>
      </c>
    </row>
    <row r="7" spans="1:23" x14ac:dyDescent="0.25">
      <c r="C7" s="3"/>
      <c r="D7" s="1"/>
      <c r="E7" s="1"/>
    </row>
    <row r="8" spans="1:23" x14ac:dyDescent="0.25">
      <c r="B8" t="s">
        <v>23</v>
      </c>
      <c r="D8" s="2">
        <v>25200</v>
      </c>
      <c r="E8" s="2">
        <v>24800</v>
      </c>
      <c r="F8" t="s">
        <v>67</v>
      </c>
    </row>
    <row r="9" spans="1:23" x14ac:dyDescent="0.25">
      <c r="B9" t="s">
        <v>10</v>
      </c>
      <c r="D9" s="2">
        <v>334800</v>
      </c>
      <c r="E9" s="2">
        <v>238700</v>
      </c>
      <c r="F9" t="s">
        <v>68</v>
      </c>
      <c r="K9" t="s">
        <v>70</v>
      </c>
    </row>
    <row r="10" spans="1:23" x14ac:dyDescent="0.25">
      <c r="B10" t="s">
        <v>71</v>
      </c>
      <c r="I10" t="s">
        <v>69</v>
      </c>
    </row>
    <row r="11" spans="1:23" x14ac:dyDescent="0.25">
      <c r="A11" s="4">
        <v>1</v>
      </c>
      <c r="B11" s="4" t="s">
        <v>6</v>
      </c>
      <c r="D11" t="s">
        <v>1</v>
      </c>
      <c r="E11" t="s">
        <v>2</v>
      </c>
      <c r="H11" s="4">
        <v>1</v>
      </c>
      <c r="I11" s="4" t="s">
        <v>6</v>
      </c>
      <c r="J11" t="s">
        <v>1</v>
      </c>
      <c r="K11" t="s">
        <v>2</v>
      </c>
      <c r="Q11" s="4" t="s">
        <v>69</v>
      </c>
      <c r="R11" s="4"/>
      <c r="S11" s="4"/>
      <c r="T11" s="4"/>
      <c r="U11" s="4"/>
      <c r="V11" s="4"/>
      <c r="W11" s="4" t="s">
        <v>117</v>
      </c>
    </row>
    <row r="12" spans="1:23" x14ac:dyDescent="0.25">
      <c r="B12" t="s">
        <v>7</v>
      </c>
      <c r="D12" s="10">
        <f>C5</f>
        <v>150000</v>
      </c>
      <c r="E12" s="10">
        <f>C5</f>
        <v>150000</v>
      </c>
      <c r="I12" t="s">
        <v>29</v>
      </c>
      <c r="J12" s="10">
        <f>C3*(1-D3)</f>
        <v>10500</v>
      </c>
      <c r="K12" s="10">
        <f>C3*(1-E3)</f>
        <v>5999.9999999999991</v>
      </c>
      <c r="Q12" t="s">
        <v>101</v>
      </c>
      <c r="W12" t="s">
        <v>113</v>
      </c>
    </row>
    <row r="13" spans="1:23" x14ac:dyDescent="0.25">
      <c r="B13" t="s">
        <v>25</v>
      </c>
      <c r="D13" s="11">
        <f>$C$6*D6</f>
        <v>24000</v>
      </c>
      <c r="E13" s="11">
        <f>$C$6*E6</f>
        <v>16000</v>
      </c>
      <c r="I13" t="s">
        <v>30</v>
      </c>
      <c r="J13" s="10">
        <f>C5-C3</f>
        <v>120000</v>
      </c>
      <c r="K13" s="10">
        <f>C5-C3</f>
        <v>120000</v>
      </c>
      <c r="Q13" t="s">
        <v>105</v>
      </c>
      <c r="W13" t="s">
        <v>109</v>
      </c>
    </row>
    <row r="14" spans="1:23" x14ac:dyDescent="0.25">
      <c r="B14" t="s">
        <v>8</v>
      </c>
      <c r="D14" s="3">
        <f>SUM(D12:D13)</f>
        <v>174000</v>
      </c>
      <c r="E14" s="3">
        <f>SUM(E12:E13)</f>
        <v>166000</v>
      </c>
      <c r="I14" t="s">
        <v>31</v>
      </c>
      <c r="J14" s="11">
        <f>$C$6*D6</f>
        <v>24000</v>
      </c>
      <c r="K14" s="11">
        <f>$C$6*E6</f>
        <v>16000</v>
      </c>
      <c r="Q14" t="s">
        <v>106</v>
      </c>
      <c r="W14" t="s">
        <v>104</v>
      </c>
    </row>
    <row r="15" spans="1:23" x14ac:dyDescent="0.25">
      <c r="I15" t="s">
        <v>35</v>
      </c>
      <c r="J15" s="3">
        <f>SUM(J12:J14)</f>
        <v>154500</v>
      </c>
      <c r="K15" s="3">
        <f>SUM(K12:K14)</f>
        <v>142000</v>
      </c>
      <c r="Q15" t="s">
        <v>104</v>
      </c>
    </row>
    <row r="17" spans="1:23" x14ac:dyDescent="0.25">
      <c r="A17" s="4">
        <v>2</v>
      </c>
      <c r="B17" s="4" t="s">
        <v>9</v>
      </c>
      <c r="H17" s="4">
        <v>2</v>
      </c>
      <c r="I17" s="4" t="s">
        <v>9</v>
      </c>
      <c r="Q17" t="s">
        <v>102</v>
      </c>
      <c r="W17" t="s">
        <v>114</v>
      </c>
    </row>
    <row r="18" spans="1:23" x14ac:dyDescent="0.25">
      <c r="B18" t="s">
        <v>23</v>
      </c>
      <c r="D18" s="12">
        <f>D8</f>
        <v>25200</v>
      </c>
      <c r="E18" s="12">
        <f>E8</f>
        <v>24800</v>
      </c>
      <c r="I18" t="s">
        <v>10</v>
      </c>
      <c r="J18" s="15">
        <f>D9</f>
        <v>334800</v>
      </c>
      <c r="K18" s="15">
        <f>E9</f>
        <v>238700</v>
      </c>
      <c r="Q18" t="s">
        <v>107</v>
      </c>
      <c r="W18" t="s">
        <v>110</v>
      </c>
    </row>
    <row r="19" spans="1:23" x14ac:dyDescent="0.25">
      <c r="B19" t="s">
        <v>10</v>
      </c>
      <c r="D19" s="13">
        <f>D9</f>
        <v>334800</v>
      </c>
      <c r="E19" s="13">
        <f>E9</f>
        <v>238700</v>
      </c>
      <c r="I19" t="s">
        <v>12</v>
      </c>
      <c r="J19" s="6">
        <f>J18/J15</f>
        <v>2.1669902912621359</v>
      </c>
      <c r="K19" s="6">
        <f>K18/K15</f>
        <v>1.6809859154929578</v>
      </c>
      <c r="Q19" t="s">
        <v>108</v>
      </c>
      <c r="W19" t="s">
        <v>107</v>
      </c>
    </row>
    <row r="20" spans="1:23" x14ac:dyDescent="0.25">
      <c r="B20" s="4" t="s">
        <v>11</v>
      </c>
      <c r="D20" s="2">
        <f>SUM(D18:D19)</f>
        <v>360000</v>
      </c>
      <c r="E20" s="2">
        <f>SUM(E18:E19)</f>
        <v>263500</v>
      </c>
      <c r="W20" t="s">
        <v>108</v>
      </c>
    </row>
    <row r="21" spans="1:23" x14ac:dyDescent="0.25">
      <c r="B21" t="s">
        <v>12</v>
      </c>
      <c r="D21" s="5">
        <f>D20/D14</f>
        <v>2.0689655172413794</v>
      </c>
      <c r="E21" s="5">
        <f>E20/E14</f>
        <v>1.5873493975903614</v>
      </c>
    </row>
    <row r="22" spans="1:23" x14ac:dyDescent="0.25">
      <c r="D22" s="2"/>
      <c r="E22" s="2"/>
      <c r="Q22" t="s">
        <v>103</v>
      </c>
      <c r="W22" t="s">
        <v>115</v>
      </c>
    </row>
    <row r="23" spans="1:23" x14ac:dyDescent="0.25">
      <c r="A23" s="4">
        <v>3</v>
      </c>
      <c r="B23" s="4" t="s">
        <v>13</v>
      </c>
      <c r="D23" t="s">
        <v>1</v>
      </c>
      <c r="E23" t="s">
        <v>2</v>
      </c>
      <c r="F23" t="s">
        <v>15</v>
      </c>
      <c r="H23" s="4">
        <v>3</v>
      </c>
      <c r="I23" s="4" t="s">
        <v>13</v>
      </c>
      <c r="J23" t="s">
        <v>1</v>
      </c>
      <c r="K23" t="s">
        <v>2</v>
      </c>
      <c r="L23" t="s">
        <v>15</v>
      </c>
      <c r="Q23" t="s">
        <v>104</v>
      </c>
      <c r="W23" t="s">
        <v>104</v>
      </c>
    </row>
    <row r="24" spans="1:23" x14ac:dyDescent="0.25">
      <c r="B24" s="8" t="s">
        <v>24</v>
      </c>
      <c r="I24" s="8" t="s">
        <v>24</v>
      </c>
      <c r="Q24" t="s">
        <v>109</v>
      </c>
      <c r="W24" t="s">
        <v>116</v>
      </c>
    </row>
    <row r="25" spans="1:23" x14ac:dyDescent="0.25">
      <c r="B25" t="s">
        <v>14</v>
      </c>
      <c r="D25" s="10">
        <f>D13</f>
        <v>24000</v>
      </c>
      <c r="E25" s="10">
        <f>E13</f>
        <v>16000</v>
      </c>
      <c r="I25" t="s">
        <v>14</v>
      </c>
      <c r="J25" s="10">
        <f>J14</f>
        <v>24000</v>
      </c>
      <c r="K25" s="10">
        <f>K14</f>
        <v>16000</v>
      </c>
      <c r="Q25">
        <v>1</v>
      </c>
      <c r="R25" t="s">
        <v>118</v>
      </c>
    </row>
    <row r="26" spans="1:23" x14ac:dyDescent="0.25">
      <c r="B26" t="s">
        <v>12</v>
      </c>
      <c r="D26" s="14">
        <f>D21</f>
        <v>2.0689655172413794</v>
      </c>
      <c r="E26" s="14">
        <f>E21</f>
        <v>1.5873493975903614</v>
      </c>
      <c r="I26" t="s">
        <v>12</v>
      </c>
      <c r="J26" s="14">
        <f>J19</f>
        <v>2.1669902912621359</v>
      </c>
      <c r="K26" s="14">
        <f>K19</f>
        <v>1.6809859154929578</v>
      </c>
      <c r="Q26">
        <v>2</v>
      </c>
      <c r="R26" t="s">
        <v>112</v>
      </c>
    </row>
    <row r="27" spans="1:23" x14ac:dyDescent="0.25">
      <c r="B27" t="s">
        <v>26</v>
      </c>
      <c r="D27" s="7">
        <f>D25*D26</f>
        <v>49655.172413793109</v>
      </c>
      <c r="E27" s="7">
        <f>E25*E26</f>
        <v>25397.590361445782</v>
      </c>
      <c r="F27" s="7">
        <f>SUM(D27:E27)</f>
        <v>75052.762775238894</v>
      </c>
      <c r="I27" t="s">
        <v>26</v>
      </c>
      <c r="J27" s="7">
        <f>J25*J26</f>
        <v>52007.76699029126</v>
      </c>
      <c r="K27" s="7">
        <f>K25*K26</f>
        <v>26895.774647887327</v>
      </c>
      <c r="L27" s="7">
        <f>SUM(J27:K27)</f>
        <v>78903.541638178591</v>
      </c>
      <c r="M27" t="s">
        <v>100</v>
      </c>
      <c r="Q27">
        <v>3</v>
      </c>
      <c r="R27" t="s">
        <v>111</v>
      </c>
    </row>
    <row r="29" spans="1:23" x14ac:dyDescent="0.25">
      <c r="B29" s="8" t="s">
        <v>16</v>
      </c>
      <c r="I29" s="8" t="s">
        <v>16</v>
      </c>
    </row>
    <row r="30" spans="1:23" x14ac:dyDescent="0.25">
      <c r="B30" t="s">
        <v>17</v>
      </c>
      <c r="D30" s="10">
        <f>D12</f>
        <v>150000</v>
      </c>
      <c r="E30" s="10">
        <f>E12</f>
        <v>150000</v>
      </c>
      <c r="I30" t="s">
        <v>27</v>
      </c>
      <c r="J30" s="15">
        <f>D8</f>
        <v>25200</v>
      </c>
      <c r="K30" s="15">
        <f>E8</f>
        <v>24800</v>
      </c>
      <c r="L30" s="7">
        <f>SUM(J30:K30)</f>
        <v>50000</v>
      </c>
    </row>
    <row r="31" spans="1:23" x14ac:dyDescent="0.25">
      <c r="B31" t="s">
        <v>12</v>
      </c>
      <c r="D31" s="14">
        <f>D21</f>
        <v>2.0689655172413794</v>
      </c>
      <c r="E31" s="14">
        <f>E21</f>
        <v>1.5873493975903614</v>
      </c>
      <c r="I31" t="s">
        <v>32</v>
      </c>
      <c r="J31" s="14">
        <f>J12*J19</f>
        <v>22753.398058252427</v>
      </c>
      <c r="K31" s="14">
        <f>K12*K19</f>
        <v>10085.915492957745</v>
      </c>
      <c r="L31" s="7">
        <f>SUM(J31:K31)</f>
        <v>32839.313551210173</v>
      </c>
    </row>
    <row r="32" spans="1:23" x14ac:dyDescent="0.25">
      <c r="B32" t="s">
        <v>18</v>
      </c>
      <c r="D32" s="7">
        <f>D30*D31</f>
        <v>310344.8275862069</v>
      </c>
      <c r="E32" s="7">
        <f>E30*E31</f>
        <v>238102.40963855421</v>
      </c>
      <c r="F32" s="7">
        <f>SUM(D32:E32)</f>
        <v>548447.23722476116</v>
      </c>
      <c r="I32" t="s">
        <v>33</v>
      </c>
      <c r="J32" s="16">
        <f>J13*J19</f>
        <v>260038.83495145632</v>
      </c>
      <c r="K32" s="16">
        <f>K13*K19</f>
        <v>201718.30985915495</v>
      </c>
      <c r="L32" s="9">
        <f>SUM(J32:K32)</f>
        <v>461757.14481061127</v>
      </c>
    </row>
    <row r="33" spans="1:13" x14ac:dyDescent="0.25">
      <c r="I33" t="s">
        <v>34</v>
      </c>
      <c r="J33" s="7">
        <f>SUM(J30:J32)</f>
        <v>307992.23300970875</v>
      </c>
      <c r="K33" s="7">
        <f>SUM(K30:K32)</f>
        <v>236604.2253521127</v>
      </c>
      <c r="L33" s="7">
        <f>SUM(L30:L32)</f>
        <v>544596.45836182148</v>
      </c>
      <c r="M33" t="s">
        <v>99</v>
      </c>
    </row>
    <row r="35" spans="1:13" x14ac:dyDescent="0.25">
      <c r="A35" s="4">
        <v>4</v>
      </c>
      <c r="B35" s="4" t="s">
        <v>19</v>
      </c>
      <c r="H35" s="4">
        <v>4</v>
      </c>
      <c r="I35" s="4" t="s">
        <v>19</v>
      </c>
    </row>
    <row r="36" spans="1:13" x14ac:dyDescent="0.25">
      <c r="B36" t="s">
        <v>27</v>
      </c>
      <c r="D36" s="7">
        <f>D18</f>
        <v>25200</v>
      </c>
      <c r="E36" s="7">
        <f>E18</f>
        <v>24800</v>
      </c>
      <c r="F36" s="7">
        <f>SUM(D36:E36)</f>
        <v>50000</v>
      </c>
      <c r="I36" t="s">
        <v>27</v>
      </c>
      <c r="J36" s="7">
        <f>D18</f>
        <v>25200</v>
      </c>
      <c r="K36" s="7">
        <f>E18</f>
        <v>24800</v>
      </c>
      <c r="L36" s="7">
        <f>SUM(J36:K36)</f>
        <v>50000</v>
      </c>
    </row>
    <row r="37" spans="1:13" x14ac:dyDescent="0.25">
      <c r="B37" t="s">
        <v>20</v>
      </c>
      <c r="D37" s="7">
        <f>D19</f>
        <v>334800</v>
      </c>
      <c r="E37" s="7">
        <f>E19</f>
        <v>238700</v>
      </c>
      <c r="F37" s="9">
        <f>SUM(D37:E37)</f>
        <v>573500</v>
      </c>
      <c r="I37" t="s">
        <v>20</v>
      </c>
      <c r="J37" s="7">
        <f t="shared" ref="J37:K37" si="0">D19</f>
        <v>334800</v>
      </c>
      <c r="K37" s="7">
        <f t="shared" si="0"/>
        <v>238700</v>
      </c>
      <c r="L37" s="9">
        <f>SUM(J37:K37)</f>
        <v>573500</v>
      </c>
    </row>
    <row r="38" spans="1:13" x14ac:dyDescent="0.25">
      <c r="B38" t="s">
        <v>21</v>
      </c>
      <c r="F38" s="7">
        <f>SUM(F36:F37)</f>
        <v>623500</v>
      </c>
      <c r="I38" t="s">
        <v>21</v>
      </c>
      <c r="L38" s="7">
        <f>SUM(L36:L37)</f>
        <v>623500</v>
      </c>
    </row>
    <row r="40" spans="1:13" x14ac:dyDescent="0.25">
      <c r="B40" t="s">
        <v>28</v>
      </c>
      <c r="D40" s="7">
        <f>D27</f>
        <v>49655.172413793109</v>
      </c>
      <c r="E40" s="7">
        <f>E27</f>
        <v>25397.590361445782</v>
      </c>
      <c r="F40" s="7">
        <f>SUM(D40:E40)</f>
        <v>75052.762775238894</v>
      </c>
      <c r="I40" t="s">
        <v>28</v>
      </c>
      <c r="J40" s="7">
        <f>J27</f>
        <v>52007.76699029126</v>
      </c>
      <c r="K40" s="7">
        <f>K27</f>
        <v>26895.774647887327</v>
      </c>
      <c r="L40" s="7">
        <f>SUM(J40:K40)</f>
        <v>78903.541638178591</v>
      </c>
    </row>
    <row r="41" spans="1:13" x14ac:dyDescent="0.25">
      <c r="B41" t="s">
        <v>22</v>
      </c>
      <c r="D41" s="7">
        <f>D32</f>
        <v>310344.8275862069</v>
      </c>
      <c r="E41" s="7">
        <f>E32</f>
        <v>238102.40963855421</v>
      </c>
      <c r="F41" s="9">
        <f>SUM(D41:E41)</f>
        <v>548447.23722476116</v>
      </c>
      <c r="I41" t="s">
        <v>22</v>
      </c>
      <c r="J41" s="7">
        <f>J33</f>
        <v>307992.23300970875</v>
      </c>
      <c r="K41" s="7">
        <f>K33</f>
        <v>236604.2253521127</v>
      </c>
      <c r="L41" s="9">
        <f>SUM(J41:K41)</f>
        <v>544596.45836182148</v>
      </c>
    </row>
    <row r="42" spans="1:13" x14ac:dyDescent="0.25">
      <c r="F42" s="7">
        <f>SUM(F40:F41)</f>
        <v>623500</v>
      </c>
      <c r="L42" s="7">
        <f>SUM(L40:L41)</f>
        <v>623500.00000000012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36"/>
  <sheetViews>
    <sheetView zoomScale="130" zoomScaleNormal="130" workbookViewId="0"/>
  </sheetViews>
  <sheetFormatPr defaultRowHeight="12.75" x14ac:dyDescent="0.2"/>
  <cols>
    <col min="1" max="1" width="9.85546875" style="17" bestFit="1" customWidth="1"/>
    <col min="2" max="8" width="9.140625" style="17"/>
    <col min="9" max="9" width="16.42578125" style="17" bestFit="1" customWidth="1"/>
    <col min="10" max="16384" width="9.140625" style="17"/>
  </cols>
  <sheetData>
    <row r="2" spans="1:9" x14ac:dyDescent="0.2">
      <c r="A2" s="17" t="s">
        <v>37</v>
      </c>
      <c r="B2" s="17" t="s">
        <v>38</v>
      </c>
      <c r="C2" s="17">
        <v>25000</v>
      </c>
      <c r="E2" s="18" t="s">
        <v>39</v>
      </c>
    </row>
    <row r="3" spans="1:9" x14ac:dyDescent="0.2">
      <c r="B3" s="17" t="s">
        <v>40</v>
      </c>
      <c r="C3" s="17">
        <v>20000</v>
      </c>
      <c r="E3" s="19" t="s">
        <v>41</v>
      </c>
    </row>
    <row r="4" spans="1:9" x14ac:dyDescent="0.2">
      <c r="A4" s="17" t="s">
        <v>42</v>
      </c>
      <c r="B4" s="17" t="s">
        <v>43</v>
      </c>
      <c r="C4" s="17">
        <v>5000</v>
      </c>
      <c r="E4" s="17" t="s">
        <v>44</v>
      </c>
    </row>
    <row r="5" spans="1:9" x14ac:dyDescent="0.2">
      <c r="B5" s="17" t="s">
        <v>45</v>
      </c>
      <c r="C5" s="17">
        <v>4400</v>
      </c>
    </row>
    <row r="6" spans="1:9" x14ac:dyDescent="0.2">
      <c r="E6" s="19" t="s">
        <v>46</v>
      </c>
    </row>
    <row r="7" spans="1:9" x14ac:dyDescent="0.2">
      <c r="B7" s="20" t="str">
        <f>B4</f>
        <v>Xray</v>
      </c>
      <c r="C7" s="20" t="str">
        <f>B5</f>
        <v>Lab</v>
      </c>
    </row>
    <row r="8" spans="1:9" x14ac:dyDescent="0.2">
      <c r="A8" s="17" t="str">
        <f>B2</f>
        <v>Pediatrics</v>
      </c>
      <c r="B8" s="21">
        <v>0.5</v>
      </c>
      <c r="C8" s="21">
        <v>0.4</v>
      </c>
      <c r="E8" s="17" t="s">
        <v>47</v>
      </c>
    </row>
    <row r="9" spans="1:9" x14ac:dyDescent="0.2">
      <c r="A9" s="17" t="str">
        <f>B3</f>
        <v>Dental</v>
      </c>
      <c r="B9" s="21">
        <v>0.4</v>
      </c>
      <c r="C9" s="21">
        <v>0.4</v>
      </c>
      <c r="E9" s="17" t="str">
        <f>B4</f>
        <v>Xray</v>
      </c>
      <c r="F9" s="22">
        <f>(C4+C10*C5)/(1-C10*B11)</f>
        <v>6000</v>
      </c>
    </row>
    <row r="10" spans="1:9" x14ac:dyDescent="0.2">
      <c r="A10" s="17" t="str">
        <f>B4</f>
        <v>Xray</v>
      </c>
      <c r="B10" s="21"/>
      <c r="C10" s="21">
        <v>0.2</v>
      </c>
      <c r="E10" s="17" t="str">
        <f>B5</f>
        <v>Lab</v>
      </c>
      <c r="F10" s="22">
        <f>C5+0.1*F9</f>
        <v>5000</v>
      </c>
    </row>
    <row r="11" spans="1:9" x14ac:dyDescent="0.2">
      <c r="A11" s="17" t="str">
        <f>B5</f>
        <v>Lab</v>
      </c>
      <c r="B11" s="21">
        <v>0.1</v>
      </c>
      <c r="C11" s="21"/>
      <c r="I11" s="23"/>
    </row>
    <row r="12" spans="1:9" x14ac:dyDescent="0.2">
      <c r="B12" s="24">
        <f>SUM(B8:B11)</f>
        <v>1</v>
      </c>
      <c r="C12" s="24">
        <f>SUM(C8:C11)</f>
        <v>1</v>
      </c>
    </row>
    <row r="16" spans="1:9" x14ac:dyDescent="0.2">
      <c r="B16" s="17" t="s">
        <v>48</v>
      </c>
      <c r="D16" s="20" t="str">
        <f t="array" ref="D16:G16">TRANSPOSE(B2:B5)</f>
        <v>Pediatrics</v>
      </c>
      <c r="E16" s="20" t="str">
        <v>Dental</v>
      </c>
      <c r="F16" s="20" t="str">
        <v>Xray</v>
      </c>
      <c r="G16" s="20" t="str">
        <v>Lab</v>
      </c>
      <c r="H16" s="20" t="s">
        <v>49</v>
      </c>
    </row>
    <row r="17" spans="2:8" x14ac:dyDescent="0.2">
      <c r="B17" s="17" t="s">
        <v>50</v>
      </c>
      <c r="D17" s="17">
        <f t="array" ref="D17:G17">TRANSPOSE(C2:C5)</f>
        <v>25000</v>
      </c>
      <c r="E17" s="17">
        <v>20000</v>
      </c>
      <c r="F17" s="17">
        <v>5000</v>
      </c>
      <c r="G17" s="17">
        <v>4400</v>
      </c>
      <c r="H17" s="17">
        <f>SUM(D17:G17)</f>
        <v>54400</v>
      </c>
    </row>
    <row r="18" spans="2:8" x14ac:dyDescent="0.2">
      <c r="B18" s="17" t="s">
        <v>51</v>
      </c>
    </row>
    <row r="19" spans="2:8" ht="15" x14ac:dyDescent="0.25">
      <c r="B19" s="17" t="s">
        <v>52</v>
      </c>
      <c r="D19" s="25">
        <f>$F$9*B8</f>
        <v>3000</v>
      </c>
      <c r="E19" s="25">
        <f>$F$9*B9</f>
        <v>2400</v>
      </c>
      <c r="F19" s="25">
        <f>-F9</f>
        <v>-6000</v>
      </c>
      <c r="G19" s="25">
        <f>$F$9*B11</f>
        <v>600</v>
      </c>
      <c r="H19" s="26">
        <f>$F$9*C11</f>
        <v>0</v>
      </c>
    </row>
    <row r="20" spans="2:8" ht="15" x14ac:dyDescent="0.25">
      <c r="B20" s="17" t="s">
        <v>53</v>
      </c>
      <c r="D20" s="27">
        <f>$F$10*C8</f>
        <v>2000</v>
      </c>
      <c r="E20" s="27">
        <f>$F$10*C9</f>
        <v>2000</v>
      </c>
      <c r="F20" s="27">
        <f>$F$10*C10</f>
        <v>1000</v>
      </c>
      <c r="G20" s="27">
        <f>-F10</f>
        <v>-5000</v>
      </c>
      <c r="H20" s="28">
        <f>-G10</f>
        <v>0</v>
      </c>
    </row>
    <row r="21" spans="2:8" ht="13.5" thickBot="1" x14ac:dyDescent="0.25">
      <c r="D21" s="29">
        <f>SUM(D17:D20)</f>
        <v>30000</v>
      </c>
      <c r="E21" s="29">
        <f>SUM(E17:E20)</f>
        <v>24400</v>
      </c>
      <c r="F21" s="30">
        <f>SUM(F17:F20)</f>
        <v>0</v>
      </c>
      <c r="G21" s="30">
        <f>SUM(G17:G20)</f>
        <v>0</v>
      </c>
      <c r="H21" s="31">
        <f>SUM(H17:H20)</f>
        <v>54400</v>
      </c>
    </row>
    <row r="22" spans="2:8" ht="13.5" thickTop="1" x14ac:dyDescent="0.2"/>
    <row r="23" spans="2:8" x14ac:dyDescent="0.2">
      <c r="B23" s="17" t="s">
        <v>50</v>
      </c>
      <c r="D23" s="17">
        <v>25000</v>
      </c>
      <c r="E23" s="17">
        <v>20000</v>
      </c>
      <c r="F23" s="17">
        <v>5000</v>
      </c>
      <c r="G23" s="17">
        <v>4400</v>
      </c>
    </row>
    <row r="24" spans="2:8" x14ac:dyDescent="0.2">
      <c r="B24" s="17" t="s">
        <v>51</v>
      </c>
      <c r="C24" s="17" t="s">
        <v>43</v>
      </c>
      <c r="D24" s="27">
        <f>-F24*0.5</f>
        <v>2500</v>
      </c>
      <c r="E24" s="27">
        <f>-F24*0.4</f>
        <v>2000</v>
      </c>
      <c r="F24" s="27">
        <f>-F23</f>
        <v>-5000</v>
      </c>
      <c r="G24" s="27">
        <f>-F24*0.1</f>
        <v>500</v>
      </c>
    </row>
    <row r="25" spans="2:8" x14ac:dyDescent="0.2">
      <c r="D25" s="25">
        <f>SUM(D23:D24)</f>
        <v>27500</v>
      </c>
      <c r="E25" s="25">
        <f>SUM(E23:E24)</f>
        <v>22000</v>
      </c>
      <c r="F25" s="25">
        <f>SUM(F23:F24)</f>
        <v>0</v>
      </c>
      <c r="G25" s="25">
        <f>SUM(G23:G24)</f>
        <v>4900</v>
      </c>
    </row>
    <row r="26" spans="2:8" x14ac:dyDescent="0.2">
      <c r="C26" s="17" t="s">
        <v>45</v>
      </c>
      <c r="D26" s="27">
        <f>-G26*0.4</f>
        <v>1960</v>
      </c>
      <c r="E26" s="27">
        <f>-G26*0.4</f>
        <v>1960</v>
      </c>
      <c r="F26" s="27">
        <f>-G26*0.2</f>
        <v>980</v>
      </c>
      <c r="G26" s="27">
        <f>-G25</f>
        <v>-4900</v>
      </c>
    </row>
    <row r="27" spans="2:8" x14ac:dyDescent="0.2">
      <c r="D27" s="25">
        <f>SUM(D25:D26)</f>
        <v>29460</v>
      </c>
      <c r="E27" s="25">
        <f>SUM(E25:E26)</f>
        <v>23960</v>
      </c>
      <c r="F27" s="25">
        <f>SUM(F25:F26)</f>
        <v>980</v>
      </c>
      <c r="G27" s="25">
        <f>SUM(G25:G26)</f>
        <v>0</v>
      </c>
    </row>
    <row r="28" spans="2:8" x14ac:dyDescent="0.2">
      <c r="C28" s="17" t="s">
        <v>43</v>
      </c>
      <c r="D28" s="27">
        <f>-F28*0.5</f>
        <v>490</v>
      </c>
      <c r="E28" s="27">
        <f>-F28*0.4</f>
        <v>392</v>
      </c>
      <c r="F28" s="27">
        <f>-F27</f>
        <v>-980</v>
      </c>
      <c r="G28" s="27">
        <f>-F28*0.1</f>
        <v>98</v>
      </c>
    </row>
    <row r="29" spans="2:8" x14ac:dyDescent="0.2">
      <c r="D29" s="25">
        <f>SUM(D27:D28)</f>
        <v>29950</v>
      </c>
      <c r="E29" s="25">
        <f>SUM(E27:E28)</f>
        <v>24352</v>
      </c>
      <c r="F29" s="25">
        <f>SUM(F27:F28)</f>
        <v>0</v>
      </c>
      <c r="G29" s="25">
        <f>SUM(G27:G28)</f>
        <v>98</v>
      </c>
    </row>
    <row r="30" spans="2:8" x14ac:dyDescent="0.2">
      <c r="C30" s="17" t="s">
        <v>45</v>
      </c>
      <c r="D30" s="27">
        <f>-G30*0.4</f>
        <v>39.200000000000003</v>
      </c>
      <c r="E30" s="27">
        <f>-G30*0.4</f>
        <v>39.200000000000003</v>
      </c>
      <c r="F30" s="27">
        <f>-G30*0.2</f>
        <v>19.600000000000001</v>
      </c>
      <c r="G30" s="27">
        <f>-G29</f>
        <v>-98</v>
      </c>
    </row>
    <row r="31" spans="2:8" x14ac:dyDescent="0.2">
      <c r="D31" s="25">
        <f>SUM(D29:D30)</f>
        <v>29989.200000000001</v>
      </c>
      <c r="E31" s="25">
        <f>SUM(E29:E30)</f>
        <v>24391.200000000001</v>
      </c>
      <c r="F31" s="25">
        <f>SUM(F29:F30)</f>
        <v>19.600000000000001</v>
      </c>
      <c r="G31" s="25">
        <f>SUM(G29:G30)</f>
        <v>0</v>
      </c>
    </row>
    <row r="32" spans="2:8" x14ac:dyDescent="0.2">
      <c r="C32" s="17" t="s">
        <v>43</v>
      </c>
      <c r="D32" s="27">
        <f>-F32*0.5</f>
        <v>9.8000000000000007</v>
      </c>
      <c r="E32" s="27">
        <f>-F32*0.4</f>
        <v>7.8400000000000007</v>
      </c>
      <c r="F32" s="27">
        <f>-F31</f>
        <v>-19.600000000000001</v>
      </c>
      <c r="G32" s="27">
        <f>-F32*0.1</f>
        <v>1.9600000000000002</v>
      </c>
    </row>
    <row r="33" spans="3:7" x14ac:dyDescent="0.2">
      <c r="D33" s="25">
        <f>SUM(D31:D32)</f>
        <v>29999</v>
      </c>
      <c r="E33" s="25">
        <f>SUM(E31:E32)</f>
        <v>24399.040000000001</v>
      </c>
      <c r="F33" s="25">
        <f>SUM(F31:F32)</f>
        <v>0</v>
      </c>
      <c r="G33" s="25">
        <f>SUM(G31:G32)</f>
        <v>1.9600000000000002</v>
      </c>
    </row>
    <row r="34" spans="3:7" x14ac:dyDescent="0.2">
      <c r="C34" s="17" t="s">
        <v>45</v>
      </c>
      <c r="D34" s="27">
        <f>-G34*0.4</f>
        <v>0.78400000000000014</v>
      </c>
      <c r="E34" s="27">
        <f>-G34*0.4</f>
        <v>0.78400000000000014</v>
      </c>
      <c r="F34" s="27">
        <f>-G34*0.2</f>
        <v>0.39200000000000007</v>
      </c>
      <c r="G34" s="27">
        <f>-G33</f>
        <v>-1.9600000000000002</v>
      </c>
    </row>
    <row r="35" spans="3:7" ht="13.5" thickBot="1" x14ac:dyDescent="0.25">
      <c r="D35" s="32">
        <f>SUM(D33:D34)</f>
        <v>29999.784</v>
      </c>
      <c r="E35" s="32">
        <f>SUM(E33:E34)</f>
        <v>24399.824000000001</v>
      </c>
      <c r="F35" s="32">
        <f>SUM(F33:F34)</f>
        <v>0.39200000000000007</v>
      </c>
      <c r="G35" s="32">
        <f>SUM(G33:G34)</f>
        <v>0</v>
      </c>
    </row>
    <row r="36" spans="3:7" ht="13.5" thickTop="1" x14ac:dyDescent="0.2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zoomScale="96" zoomScaleNormal="160" workbookViewId="0">
      <selection activeCell="G3" sqref="G3"/>
    </sheetView>
  </sheetViews>
  <sheetFormatPr defaultRowHeight="15" x14ac:dyDescent="0.25"/>
  <cols>
    <col min="1" max="1" width="12.5703125" bestFit="1" customWidth="1"/>
    <col min="6" max="6" width="10.140625" customWidth="1"/>
    <col min="7" max="7" width="11.85546875" customWidth="1"/>
  </cols>
  <sheetData>
    <row r="1" spans="1:12" x14ac:dyDescent="0.25">
      <c r="H1" t="s">
        <v>85</v>
      </c>
    </row>
    <row r="2" spans="1:12" ht="29.25" customHeight="1" x14ac:dyDescent="0.25">
      <c r="A2" t="s">
        <v>54</v>
      </c>
      <c r="B2" s="34"/>
      <c r="C2" s="34" t="s">
        <v>0</v>
      </c>
      <c r="D2" s="34" t="s">
        <v>55</v>
      </c>
      <c r="E2" s="34" t="s">
        <v>56</v>
      </c>
      <c r="F2" s="34" t="s">
        <v>57</v>
      </c>
      <c r="G2" s="34" t="s">
        <v>84</v>
      </c>
      <c r="H2" s="36" t="s">
        <v>59</v>
      </c>
      <c r="I2" s="36" t="s">
        <v>60</v>
      </c>
      <c r="J2" s="36" t="s">
        <v>61</v>
      </c>
      <c r="K2" s="36" t="s">
        <v>62</v>
      </c>
      <c r="L2" s="36" t="s">
        <v>63</v>
      </c>
    </row>
    <row r="3" spans="1:12" x14ac:dyDescent="0.25">
      <c r="A3" t="s">
        <v>86</v>
      </c>
      <c r="B3" t="s">
        <v>64</v>
      </c>
      <c r="C3" s="33">
        <v>200</v>
      </c>
      <c r="D3" s="33">
        <v>10</v>
      </c>
      <c r="E3" s="33">
        <f>C3*D3</f>
        <v>2000</v>
      </c>
      <c r="F3" s="33">
        <v>600</v>
      </c>
      <c r="G3" s="35">
        <f>E3-F3</f>
        <v>1400</v>
      </c>
      <c r="H3" s="37">
        <f>ROUND(3000*G3/G5,0)</f>
        <v>712</v>
      </c>
      <c r="I3" s="37">
        <f>F3+H3</f>
        <v>1312</v>
      </c>
      <c r="J3" s="37">
        <f>I3/C3</f>
        <v>6.56</v>
      </c>
      <c r="K3" s="37">
        <f>E3-I3</f>
        <v>688</v>
      </c>
      <c r="L3" s="37">
        <f>K3/C3</f>
        <v>3.44</v>
      </c>
    </row>
    <row r="4" spans="1:12" x14ac:dyDescent="0.25">
      <c r="A4" t="s">
        <v>86</v>
      </c>
      <c r="B4" t="s">
        <v>65</v>
      </c>
      <c r="C4" s="33">
        <v>300</v>
      </c>
      <c r="D4" s="33">
        <v>20</v>
      </c>
      <c r="E4" s="33">
        <f>C4*D4</f>
        <v>6000</v>
      </c>
      <c r="F4" s="33">
        <v>1500</v>
      </c>
      <c r="G4">
        <f>E4-F4</f>
        <v>4500</v>
      </c>
      <c r="H4" s="37">
        <f>3000-H3</f>
        <v>2288</v>
      </c>
      <c r="I4" s="37">
        <f>F4+H4</f>
        <v>3788</v>
      </c>
      <c r="J4" s="37">
        <f>I4/C4</f>
        <v>12.626666666666667</v>
      </c>
      <c r="K4" s="37">
        <f>E4-I4</f>
        <v>2212</v>
      </c>
      <c r="L4" s="37">
        <f>K4/C4</f>
        <v>7.3733333333333331</v>
      </c>
    </row>
    <row r="5" spans="1:12" x14ac:dyDescent="0.25">
      <c r="E5">
        <f>SUM(E3:E4)</f>
        <v>8000</v>
      </c>
      <c r="F5" s="33">
        <f>SUM(F3:F4)</f>
        <v>2100</v>
      </c>
      <c r="G5">
        <f>SUM(G3:G4)</f>
        <v>5900</v>
      </c>
      <c r="H5" s="37">
        <f>SUM(H3:H4)</f>
        <v>3000</v>
      </c>
      <c r="I5" s="37"/>
      <c r="J5" s="37"/>
      <c r="K5" s="37">
        <f>SUM(K3:K4)</f>
        <v>2900</v>
      </c>
      <c r="L5" s="37"/>
    </row>
    <row r="6" spans="1:12" x14ac:dyDescent="0.25">
      <c r="H6" s="37"/>
      <c r="I6" s="37"/>
      <c r="J6" s="37"/>
      <c r="K6" s="37"/>
      <c r="L6" s="37"/>
    </row>
    <row r="7" spans="1:12" x14ac:dyDescent="0.25">
      <c r="A7" t="s">
        <v>66</v>
      </c>
      <c r="C7" t="s">
        <v>0</v>
      </c>
      <c r="D7" t="s">
        <v>55</v>
      </c>
      <c r="E7" t="s">
        <v>56</v>
      </c>
      <c r="F7" t="s">
        <v>57</v>
      </c>
      <c r="G7" t="s">
        <v>58</v>
      </c>
      <c r="H7" s="37" t="s">
        <v>59</v>
      </c>
      <c r="I7" s="37" t="s">
        <v>60</v>
      </c>
      <c r="J7" s="37" t="s">
        <v>61</v>
      </c>
      <c r="K7" s="37" t="s">
        <v>62</v>
      </c>
      <c r="L7" s="37" t="s">
        <v>63</v>
      </c>
    </row>
    <row r="8" spans="1:12" x14ac:dyDescent="0.25">
      <c r="A8" t="s">
        <v>87</v>
      </c>
      <c r="B8" t="s">
        <v>64</v>
      </c>
      <c r="C8" s="33">
        <v>200</v>
      </c>
      <c r="D8" s="33">
        <v>10</v>
      </c>
      <c r="E8" s="33">
        <f>C8*D8</f>
        <v>2000</v>
      </c>
      <c r="F8" s="33">
        <v>600</v>
      </c>
      <c r="G8" s="35">
        <f>E8-F8</f>
        <v>1400</v>
      </c>
      <c r="H8" s="37">
        <f>G8</f>
        <v>1400</v>
      </c>
      <c r="I8" s="37">
        <f>F8+H8</f>
        <v>2000</v>
      </c>
      <c r="J8" s="37">
        <f>I8/C8</f>
        <v>10</v>
      </c>
      <c r="K8" s="37">
        <f>E8-I8</f>
        <v>0</v>
      </c>
      <c r="L8" s="37">
        <f>K8/C8</f>
        <v>0</v>
      </c>
    </row>
    <row r="9" spans="1:12" x14ac:dyDescent="0.25">
      <c r="A9" t="s">
        <v>86</v>
      </c>
      <c r="B9" t="s">
        <v>65</v>
      </c>
      <c r="C9" s="33">
        <v>300</v>
      </c>
      <c r="D9" s="33">
        <v>20</v>
      </c>
      <c r="E9" s="33">
        <f>C9*D9</f>
        <v>6000</v>
      </c>
      <c r="F9" s="33">
        <v>1500</v>
      </c>
      <c r="G9">
        <f>E9-F9</f>
        <v>4500</v>
      </c>
      <c r="H9" s="37">
        <f>3000-H8</f>
        <v>1600</v>
      </c>
      <c r="I9" s="37">
        <f>F9+H9</f>
        <v>3100</v>
      </c>
      <c r="J9" s="37">
        <f>I9/C9</f>
        <v>10.333333333333334</v>
      </c>
      <c r="K9" s="37">
        <f>E9-I9</f>
        <v>2900</v>
      </c>
      <c r="L9" s="37">
        <f>K9/C9</f>
        <v>9.6666666666666661</v>
      </c>
    </row>
    <row r="10" spans="1:12" x14ac:dyDescent="0.25">
      <c r="E10">
        <f>SUM(E8:E9)</f>
        <v>8000</v>
      </c>
      <c r="F10" s="33">
        <f>SUM(F8:F9)</f>
        <v>2100</v>
      </c>
      <c r="G10">
        <f>SUM(G8:G9)</f>
        <v>5900</v>
      </c>
      <c r="H10" s="37">
        <f>SUM(H8:H9)</f>
        <v>3000</v>
      </c>
      <c r="I10" s="37"/>
      <c r="J10" s="37"/>
      <c r="K10" s="37">
        <f>SUM(K8:K9)</f>
        <v>2900</v>
      </c>
      <c r="L10" s="37"/>
    </row>
    <row r="16" spans="1:12" x14ac:dyDescent="0.25">
      <c r="E16" t="s">
        <v>72</v>
      </c>
      <c r="K16" t="s">
        <v>81</v>
      </c>
    </row>
    <row r="17" spans="5:11" x14ac:dyDescent="0.25">
      <c r="E17" t="s">
        <v>73</v>
      </c>
      <c r="K17" t="s">
        <v>82</v>
      </c>
    </row>
    <row r="19" spans="5:11" x14ac:dyDescent="0.25">
      <c r="E19" t="s">
        <v>74</v>
      </c>
      <c r="K19" t="s">
        <v>83</v>
      </c>
    </row>
    <row r="20" spans="5:11" x14ac:dyDescent="0.25">
      <c r="E20" t="s">
        <v>75</v>
      </c>
      <c r="K20" t="s">
        <v>96</v>
      </c>
    </row>
    <row r="21" spans="5:11" x14ac:dyDescent="0.25">
      <c r="E21" t="s">
        <v>76</v>
      </c>
      <c r="K21" t="s">
        <v>88</v>
      </c>
    </row>
    <row r="22" spans="5:11" x14ac:dyDescent="0.25">
      <c r="E22" t="s">
        <v>77</v>
      </c>
      <c r="K22" t="s">
        <v>89</v>
      </c>
    </row>
    <row r="23" spans="5:11" x14ac:dyDescent="0.25">
      <c r="E23" t="s">
        <v>78</v>
      </c>
      <c r="K23" t="s">
        <v>90</v>
      </c>
    </row>
    <row r="24" spans="5:11" x14ac:dyDescent="0.25">
      <c r="E24" t="s">
        <v>79</v>
      </c>
    </row>
    <row r="25" spans="5:11" x14ac:dyDescent="0.25">
      <c r="K25" t="s">
        <v>91</v>
      </c>
    </row>
    <row r="26" spans="5:11" x14ac:dyDescent="0.25">
      <c r="E26" t="s">
        <v>80</v>
      </c>
    </row>
    <row r="29" spans="5:11" x14ac:dyDescent="0.25">
      <c r="E29" t="s">
        <v>92</v>
      </c>
    </row>
    <row r="30" spans="5:11" x14ac:dyDescent="0.25">
      <c r="E30" t="s">
        <v>98</v>
      </c>
      <c r="I30" t="s">
        <v>97</v>
      </c>
    </row>
    <row r="31" spans="5:11" x14ac:dyDescent="0.25">
      <c r="E31" t="s">
        <v>93</v>
      </c>
      <c r="F31">
        <v>8000</v>
      </c>
      <c r="I31">
        <f>E9</f>
        <v>6000</v>
      </c>
    </row>
    <row r="32" spans="5:11" x14ac:dyDescent="0.25">
      <c r="E32" t="s">
        <v>94</v>
      </c>
      <c r="F32">
        <f>SUM(F5,H5)</f>
        <v>5100</v>
      </c>
      <c r="I32">
        <f>H9+F9</f>
        <v>3100</v>
      </c>
    </row>
    <row r="33" spans="5:9" x14ac:dyDescent="0.25">
      <c r="E33" t="s">
        <v>95</v>
      </c>
      <c r="F33">
        <f>F31-F32</f>
        <v>2900</v>
      </c>
      <c r="I33">
        <f>I31-I32</f>
        <v>2900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 Costing</vt:lpstr>
      <vt:lpstr>Sheet1</vt:lpstr>
      <vt:lpstr>Reciprocal Method</vt:lpstr>
      <vt:lpstr>Joint vs By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2025-07-31T13:17:10Z</dcterms:modified>
</cp:coreProperties>
</file>