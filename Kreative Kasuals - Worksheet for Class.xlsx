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5928B685-7B78-481D-8E9F-7E8C951330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-22" sheetId="5" r:id="rId1"/>
    <sheet name="Existing Cost Structure" sheetId="4" r:id="rId2"/>
    <sheet name="Sheet1" sheetId="6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3" i="6" l="1"/>
  <c r="X91" i="6"/>
  <c r="T106" i="6"/>
  <c r="X62" i="6"/>
  <c r="I106" i="6"/>
  <c r="J106" i="6"/>
  <c r="K106" i="6"/>
  <c r="I77" i="6"/>
  <c r="J77" i="6"/>
  <c r="K77" i="6"/>
  <c r="H77" i="6"/>
  <c r="I83" i="6"/>
  <c r="J83" i="6"/>
  <c r="K83" i="6"/>
  <c r="H83" i="6"/>
  <c r="M103" i="6"/>
  <c r="X70" i="6"/>
  <c r="X69" i="6"/>
  <c r="E67" i="6"/>
  <c r="E66" i="6"/>
  <c r="D66" i="6"/>
  <c r="E65" i="6"/>
  <c r="D65" i="6"/>
  <c r="D64" i="6"/>
  <c r="C64" i="6"/>
  <c r="E64" i="6" s="1"/>
  <c r="D63" i="6"/>
  <c r="D68" i="6" s="1"/>
  <c r="C63" i="6"/>
  <c r="C68" i="6" s="1"/>
  <c r="M75" i="6" s="1"/>
  <c r="E61" i="6"/>
  <c r="K82" i="6"/>
  <c r="J82" i="6"/>
  <c r="I82" i="6"/>
  <c r="H82" i="6"/>
  <c r="K76" i="6"/>
  <c r="J76" i="6"/>
  <c r="I76" i="6"/>
  <c r="H76" i="6"/>
  <c r="P69" i="6" s="1"/>
  <c r="P71" i="6" s="1"/>
  <c r="M74" i="6"/>
  <c r="M80" i="6" s="1"/>
  <c r="R70" i="6"/>
  <c r="P70" i="6"/>
  <c r="K70" i="6"/>
  <c r="S70" i="6" s="1"/>
  <c r="J70" i="6"/>
  <c r="I70" i="6"/>
  <c r="Q70" i="6" s="1"/>
  <c r="H70" i="6"/>
  <c r="S69" i="6"/>
  <c r="R69" i="6"/>
  <c r="R71" i="6" s="1"/>
  <c r="Q69" i="6"/>
  <c r="R68" i="6"/>
  <c r="P68" i="6"/>
  <c r="K68" i="6"/>
  <c r="S68" i="6" s="1"/>
  <c r="S71" i="6" s="1"/>
  <c r="J68" i="6"/>
  <c r="I68" i="6"/>
  <c r="Q68" i="6" s="1"/>
  <c r="Q71" i="6" s="1"/>
  <c r="Q73" i="6" s="1"/>
  <c r="H68" i="6"/>
  <c r="R67" i="6"/>
  <c r="J67" i="6"/>
  <c r="J66" i="6"/>
  <c r="Q65" i="6"/>
  <c r="J64" i="6"/>
  <c r="R63" i="6"/>
  <c r="K63" i="6"/>
  <c r="S62" i="6"/>
  <c r="S65" i="6" s="1"/>
  <c r="R62" i="6"/>
  <c r="R65" i="6" s="1"/>
  <c r="R73" i="6" s="1"/>
  <c r="Q62" i="6"/>
  <c r="P62" i="6"/>
  <c r="P65" i="6" s="1"/>
  <c r="P73" i="6" s="1"/>
  <c r="K61" i="6"/>
  <c r="X99" i="6"/>
  <c r="M81" i="6" l="1"/>
  <c r="E63" i="6"/>
  <c r="E68" i="6" s="1"/>
  <c r="E69" i="6" s="1"/>
  <c r="S73" i="6"/>
  <c r="X71" i="6" l="1"/>
  <c r="X72" i="6" s="1"/>
  <c r="X66" i="6" s="1"/>
  <c r="X63" i="6"/>
  <c r="I111" i="6" l="1"/>
  <c r="J111" i="6"/>
  <c r="K111" i="6"/>
  <c r="I105" i="6"/>
  <c r="Q98" i="6" s="1"/>
  <c r="J105" i="6"/>
  <c r="R98" i="6" s="1"/>
  <c r="K105" i="6"/>
  <c r="S98" i="6" s="1"/>
  <c r="K99" i="6"/>
  <c r="S99" i="6" s="1"/>
  <c r="K92" i="6"/>
  <c r="L90" i="6"/>
  <c r="K90" i="6"/>
  <c r="M109" i="6" s="1"/>
  <c r="M110" i="6" s="1"/>
  <c r="D95" i="6"/>
  <c r="E95" i="6" s="1"/>
  <c r="C93" i="6"/>
  <c r="E96" i="6"/>
  <c r="D94" i="6"/>
  <c r="E94" i="6" s="1"/>
  <c r="D93" i="6"/>
  <c r="E93" i="6" s="1"/>
  <c r="D92" i="6"/>
  <c r="D97" i="6" s="1"/>
  <c r="C92" i="6"/>
  <c r="C97" i="6" s="1"/>
  <c r="E90" i="6"/>
  <c r="H111" i="6"/>
  <c r="H105" i="6"/>
  <c r="J99" i="6"/>
  <c r="R99" i="6" s="1"/>
  <c r="I99" i="6"/>
  <c r="Q99" i="6" s="1"/>
  <c r="H99" i="6"/>
  <c r="P99" i="6" s="1"/>
  <c r="J97" i="6"/>
  <c r="R97" i="6" s="1"/>
  <c r="I97" i="6"/>
  <c r="Q97" i="6" s="1"/>
  <c r="H97" i="6"/>
  <c r="P97" i="6" s="1"/>
  <c r="J96" i="6"/>
  <c r="R96" i="6" s="1"/>
  <c r="J95" i="6"/>
  <c r="J93" i="6"/>
  <c r="R91" i="6" s="1"/>
  <c r="R94" i="6" s="1"/>
  <c r="R92" i="6"/>
  <c r="Q91" i="6"/>
  <c r="Q94" i="6" s="1"/>
  <c r="P91" i="6"/>
  <c r="P94" i="6" s="1"/>
  <c r="K32" i="6"/>
  <c r="K53" i="6"/>
  <c r="J53" i="6"/>
  <c r="I53" i="6"/>
  <c r="H53" i="6"/>
  <c r="K47" i="6"/>
  <c r="J47" i="6"/>
  <c r="I47" i="6"/>
  <c r="H47" i="6"/>
  <c r="P40" i="6" s="1"/>
  <c r="L45" i="6"/>
  <c r="S41" i="6"/>
  <c r="R41" i="6"/>
  <c r="J41" i="6"/>
  <c r="I41" i="6"/>
  <c r="Q41" i="6" s="1"/>
  <c r="H41" i="6"/>
  <c r="P41" i="6" s="1"/>
  <c r="Q40" i="6"/>
  <c r="K39" i="6"/>
  <c r="S39" i="6" s="1"/>
  <c r="J39" i="6"/>
  <c r="R39" i="6" s="1"/>
  <c r="I39" i="6"/>
  <c r="Q39" i="6" s="1"/>
  <c r="H39" i="6"/>
  <c r="P39" i="6" s="1"/>
  <c r="J38" i="6"/>
  <c r="R38" i="6" s="1"/>
  <c r="J37" i="6"/>
  <c r="P36" i="6"/>
  <c r="J35" i="6"/>
  <c r="R33" i="6" s="1"/>
  <c r="R34" i="6"/>
  <c r="S33" i="6"/>
  <c r="S36" i="6" s="1"/>
  <c r="Q33" i="6"/>
  <c r="Q36" i="6" s="1"/>
  <c r="P33" i="6"/>
  <c r="Q11" i="6"/>
  <c r="R11" i="6"/>
  <c r="P11" i="6"/>
  <c r="Q12" i="6"/>
  <c r="Q4" i="6"/>
  <c r="Q7" i="6" s="1"/>
  <c r="R4" i="6"/>
  <c r="R7" i="6" s="1"/>
  <c r="P4" i="6"/>
  <c r="P7" i="6" s="1"/>
  <c r="R5" i="6"/>
  <c r="J24" i="6"/>
  <c r="I24" i="6"/>
  <c r="H24" i="6"/>
  <c r="K24" i="6" s="1"/>
  <c r="K22" i="6"/>
  <c r="J18" i="6"/>
  <c r="J19" i="6" s="1"/>
  <c r="R16" i="6" s="1"/>
  <c r="I18" i="6"/>
  <c r="I19" i="6" s="1"/>
  <c r="Q16" i="6" s="1"/>
  <c r="H18" i="6"/>
  <c r="K16" i="6"/>
  <c r="J12" i="6"/>
  <c r="R12" i="6" s="1"/>
  <c r="I12" i="6"/>
  <c r="H12" i="6"/>
  <c r="P12" i="6" s="1"/>
  <c r="J10" i="6"/>
  <c r="R10" i="6" s="1"/>
  <c r="I10" i="6"/>
  <c r="Q10" i="6" s="1"/>
  <c r="Q13" i="6" s="1"/>
  <c r="H10" i="6"/>
  <c r="P10" i="6" s="1"/>
  <c r="J9" i="6"/>
  <c r="R9" i="6" s="1"/>
  <c r="J8" i="6"/>
  <c r="J6" i="6"/>
  <c r="K3" i="6"/>
  <c r="E11" i="6"/>
  <c r="E10" i="6"/>
  <c r="D9" i="6"/>
  <c r="E9" i="6" s="1"/>
  <c r="E8" i="6"/>
  <c r="D8" i="6"/>
  <c r="C8" i="6"/>
  <c r="D7" i="6"/>
  <c r="C7" i="6"/>
  <c r="C12" i="6" s="1"/>
  <c r="K17" i="6" s="1"/>
  <c r="H19" i="6" s="1"/>
  <c r="P16" i="6" s="1"/>
  <c r="E5" i="6"/>
  <c r="C4" i="6"/>
  <c r="E4" i="6" s="1"/>
  <c r="C18" i="2"/>
  <c r="F13" i="2"/>
  <c r="H12" i="2"/>
  <c r="H11" i="2"/>
  <c r="H10" i="2"/>
  <c r="G10" i="2"/>
  <c r="G9" i="2"/>
  <c r="F9" i="2"/>
  <c r="H9" i="2" s="1"/>
  <c r="G8" i="2"/>
  <c r="H8" i="2" s="1"/>
  <c r="F8" i="2"/>
  <c r="H6" i="2"/>
  <c r="C6" i="2"/>
  <c r="C15" i="2" s="1"/>
  <c r="F5" i="2"/>
  <c r="H5" i="2" s="1"/>
  <c r="M123" i="4"/>
  <c r="M122" i="4"/>
  <c r="L123" i="4"/>
  <c r="L122" i="4"/>
  <c r="Q120" i="4"/>
  <c r="O120" i="4"/>
  <c r="N120" i="4"/>
  <c r="M120" i="4"/>
  <c r="L120" i="4"/>
  <c r="P105" i="4"/>
  <c r="W102" i="4"/>
  <c r="X102" i="4"/>
  <c r="Y102" i="4"/>
  <c r="W101" i="4"/>
  <c r="X101" i="4"/>
  <c r="Y101" i="4"/>
  <c r="W100" i="4"/>
  <c r="X100" i="4"/>
  <c r="Y100" i="4"/>
  <c r="W99" i="4"/>
  <c r="X99" i="4"/>
  <c r="Y99" i="4"/>
  <c r="W96" i="4"/>
  <c r="X96" i="4"/>
  <c r="Y96" i="4"/>
  <c r="W93" i="4"/>
  <c r="X93" i="4"/>
  <c r="Y93" i="4"/>
  <c r="O114" i="4"/>
  <c r="Y107" i="4" s="1"/>
  <c r="M113" i="4"/>
  <c r="N113" i="4"/>
  <c r="O113" i="4"/>
  <c r="P112" i="4"/>
  <c r="L114" i="4" s="1"/>
  <c r="V107" i="4" s="1"/>
  <c r="P111" i="4"/>
  <c r="P106" i="4"/>
  <c r="M108" i="4" s="1"/>
  <c r="O107" i="4"/>
  <c r="O101" i="4"/>
  <c r="G98" i="4"/>
  <c r="F96" i="4"/>
  <c r="C105" i="4"/>
  <c r="F100" i="4"/>
  <c r="H99" i="4"/>
  <c r="H98" i="4"/>
  <c r="G97" i="4"/>
  <c r="H97" i="4" s="1"/>
  <c r="G96" i="4"/>
  <c r="H96" i="4"/>
  <c r="H95" i="4"/>
  <c r="G95" i="4"/>
  <c r="G100" i="4" s="1"/>
  <c r="F95" i="4"/>
  <c r="H93" i="4"/>
  <c r="C93" i="4"/>
  <c r="C102" i="4" s="1"/>
  <c r="H92" i="4"/>
  <c r="F92" i="4"/>
  <c r="M99" i="4"/>
  <c r="N99" i="4"/>
  <c r="O99" i="4"/>
  <c r="O94" i="4"/>
  <c r="L113" i="4"/>
  <c r="N107" i="4"/>
  <c r="M107" i="4"/>
  <c r="L107" i="4"/>
  <c r="V102" i="4"/>
  <c r="V101" i="4"/>
  <c r="N101" i="4"/>
  <c r="M101" i="4"/>
  <c r="L101" i="4"/>
  <c r="V100" i="4"/>
  <c r="V99" i="4"/>
  <c r="L99" i="4"/>
  <c r="X98" i="4"/>
  <c r="N98" i="4"/>
  <c r="N97" i="4"/>
  <c r="V96" i="4"/>
  <c r="V104" i="4" s="1"/>
  <c r="N95" i="4"/>
  <c r="X94" i="4"/>
  <c r="V93" i="4"/>
  <c r="P84" i="4"/>
  <c r="P69" i="4"/>
  <c r="P82" i="4"/>
  <c r="P83" i="4"/>
  <c r="O38" i="4"/>
  <c r="Y38" i="4" s="1"/>
  <c r="O63" i="4"/>
  <c r="Y63" i="4" s="1"/>
  <c r="L84" i="4"/>
  <c r="L83" i="4"/>
  <c r="O77" i="4"/>
  <c r="N77" i="4"/>
  <c r="M77" i="4"/>
  <c r="L77" i="4"/>
  <c r="O71" i="4"/>
  <c r="N71" i="4"/>
  <c r="M71" i="4"/>
  <c r="L71" i="4"/>
  <c r="Y65" i="4"/>
  <c r="N65" i="4"/>
  <c r="X65" i="4" s="1"/>
  <c r="M65" i="4"/>
  <c r="W65" i="4" s="1"/>
  <c r="L65" i="4"/>
  <c r="V65" i="4" s="1"/>
  <c r="Y64" i="4"/>
  <c r="X64" i="4"/>
  <c r="W64" i="4"/>
  <c r="V64" i="4"/>
  <c r="N63" i="4"/>
  <c r="X63" i="4" s="1"/>
  <c r="M63" i="4"/>
  <c r="W63" i="4" s="1"/>
  <c r="L63" i="4"/>
  <c r="V63" i="4" s="1"/>
  <c r="N62" i="4"/>
  <c r="X62" i="4" s="1"/>
  <c r="N61" i="4"/>
  <c r="Y60" i="4"/>
  <c r="W60" i="4"/>
  <c r="N59" i="4"/>
  <c r="X57" i="4" s="1"/>
  <c r="X60" i="4" s="1"/>
  <c r="X58" i="4"/>
  <c r="Y57" i="4"/>
  <c r="W57" i="4"/>
  <c r="V57" i="4"/>
  <c r="V60" i="4" s="1"/>
  <c r="P56" i="4"/>
  <c r="C63" i="4"/>
  <c r="C72" i="4" s="1"/>
  <c r="C75" i="4"/>
  <c r="H69" i="4"/>
  <c r="H68" i="4"/>
  <c r="G67" i="4"/>
  <c r="H67" i="4" s="1"/>
  <c r="G66" i="4"/>
  <c r="F66" i="4"/>
  <c r="G65" i="4"/>
  <c r="F65" i="4"/>
  <c r="F70" i="4" s="1"/>
  <c r="H63" i="4"/>
  <c r="F62" i="4"/>
  <c r="H62" i="4" s="1"/>
  <c r="P44" i="4"/>
  <c r="Q76" i="6" l="1"/>
  <c r="S76" i="6"/>
  <c r="R76" i="6"/>
  <c r="P76" i="6"/>
  <c r="M104" i="6"/>
  <c r="E92" i="6"/>
  <c r="E97" i="6" s="1"/>
  <c r="E98" i="6" s="1"/>
  <c r="S91" i="6"/>
  <c r="S94" i="6" s="1"/>
  <c r="R36" i="6"/>
  <c r="K97" i="6"/>
  <c r="S97" i="6" s="1"/>
  <c r="S100" i="6" s="1"/>
  <c r="H112" i="6"/>
  <c r="I112" i="6"/>
  <c r="J112" i="6"/>
  <c r="K112" i="6"/>
  <c r="S105" i="6" s="1"/>
  <c r="Q103" i="6"/>
  <c r="R100" i="6"/>
  <c r="R102" i="6" s="1"/>
  <c r="Q100" i="6"/>
  <c r="R13" i="6"/>
  <c r="D12" i="6"/>
  <c r="L46" i="6"/>
  <c r="Q102" i="6"/>
  <c r="E7" i="6"/>
  <c r="Q42" i="6"/>
  <c r="Q44" i="6" s="1"/>
  <c r="P98" i="6"/>
  <c r="P100" i="6" s="1"/>
  <c r="P102" i="6" s="1"/>
  <c r="S42" i="6"/>
  <c r="S44" i="6"/>
  <c r="P42" i="6"/>
  <c r="P44" i="6" s="1"/>
  <c r="R40" i="6"/>
  <c r="R42" i="6" s="1"/>
  <c r="S40" i="6"/>
  <c r="L51" i="6"/>
  <c r="P13" i="6"/>
  <c r="P15" i="6" s="1"/>
  <c r="P17" i="6" s="1"/>
  <c r="R15" i="6"/>
  <c r="R17" i="6" s="1"/>
  <c r="Q15" i="6"/>
  <c r="Q17" i="6" s="1"/>
  <c r="E12" i="6"/>
  <c r="E13" i="6" s="1"/>
  <c r="H13" i="2"/>
  <c r="H14" i="2" s="1"/>
  <c r="H15" i="2" s="1"/>
  <c r="H17" i="2" s="1"/>
  <c r="G13" i="2"/>
  <c r="N114" i="4"/>
  <c r="X107" i="4" s="1"/>
  <c r="M114" i="4"/>
  <c r="W107" i="4" s="1"/>
  <c r="L108" i="4"/>
  <c r="V105" i="4" s="1"/>
  <c r="V106" i="4" s="1"/>
  <c r="V108" i="4" s="1"/>
  <c r="O108" i="4"/>
  <c r="N108" i="4"/>
  <c r="X105" i="4" s="1"/>
  <c r="W105" i="4"/>
  <c r="H100" i="4"/>
  <c r="H101" i="4"/>
  <c r="X104" i="4"/>
  <c r="Y104" i="4"/>
  <c r="W104" i="4"/>
  <c r="Y105" i="4"/>
  <c r="H65" i="4"/>
  <c r="X66" i="4"/>
  <c r="W66" i="4"/>
  <c r="W68" i="4" s="1"/>
  <c r="Y66" i="4"/>
  <c r="Y68" i="4" s="1"/>
  <c r="Z68" i="4" s="1"/>
  <c r="V66" i="4"/>
  <c r="V68" i="4" s="1"/>
  <c r="X68" i="4"/>
  <c r="P75" i="4"/>
  <c r="H66" i="4"/>
  <c r="G70" i="4"/>
  <c r="H70" i="4"/>
  <c r="H71" i="4" s="1"/>
  <c r="H72" i="4" s="1"/>
  <c r="H74" i="4" s="1"/>
  <c r="Y40" i="4"/>
  <c r="X39" i="4"/>
  <c r="W32" i="4"/>
  <c r="W35" i="4" s="1"/>
  <c r="Y32" i="4"/>
  <c r="Y35" i="4" s="1"/>
  <c r="S3" i="4"/>
  <c r="R3" i="4"/>
  <c r="V32" i="4"/>
  <c r="V35" i="4" s="1"/>
  <c r="X33" i="4"/>
  <c r="M52" i="4"/>
  <c r="N52" i="4"/>
  <c r="O52" i="4"/>
  <c r="M46" i="4"/>
  <c r="W39" i="4" s="1"/>
  <c r="N46" i="4"/>
  <c r="O46" i="4"/>
  <c r="Y39" i="4" s="1"/>
  <c r="P50" i="4"/>
  <c r="O31" i="4"/>
  <c r="P31" i="4" s="1"/>
  <c r="L52" i="4"/>
  <c r="L46" i="4"/>
  <c r="V39" i="4" s="1"/>
  <c r="N40" i="4"/>
  <c r="X40" i="4" s="1"/>
  <c r="M40" i="4"/>
  <c r="W40" i="4" s="1"/>
  <c r="L40" i="4"/>
  <c r="V40" i="4" s="1"/>
  <c r="N38" i="4"/>
  <c r="X38" i="4" s="1"/>
  <c r="M38" i="4"/>
  <c r="W38" i="4" s="1"/>
  <c r="L38" i="4"/>
  <c r="V38" i="4" s="1"/>
  <c r="N37" i="4"/>
  <c r="X37" i="4" s="1"/>
  <c r="N36" i="4"/>
  <c r="N34" i="4"/>
  <c r="X32" i="4" s="1"/>
  <c r="T4" i="4"/>
  <c r="M17" i="4"/>
  <c r="N17" i="4"/>
  <c r="L17" i="4"/>
  <c r="M23" i="4"/>
  <c r="S10" i="4" s="1"/>
  <c r="N23" i="4"/>
  <c r="T10" i="4" s="1"/>
  <c r="L23" i="4"/>
  <c r="R10" i="4" s="1"/>
  <c r="R74" i="6" l="1"/>
  <c r="R75" i="6" s="1"/>
  <c r="R77" i="6" s="1"/>
  <c r="P74" i="6"/>
  <c r="P75" i="6" s="1"/>
  <c r="P77" i="6" s="1"/>
  <c r="Q74" i="6"/>
  <c r="Q75" i="6" s="1"/>
  <c r="Q77" i="6" s="1"/>
  <c r="S74" i="6"/>
  <c r="S75" i="6" s="1"/>
  <c r="S77" i="6" s="1"/>
  <c r="X64" i="6" s="1"/>
  <c r="X65" i="6" s="1"/>
  <c r="H106" i="6"/>
  <c r="P103" i="6" s="1"/>
  <c r="R103" i="6"/>
  <c r="R104" i="6" s="1"/>
  <c r="S102" i="6"/>
  <c r="R44" i="6"/>
  <c r="S103" i="6"/>
  <c r="P104" i="6"/>
  <c r="Q104" i="6"/>
  <c r="K23" i="6"/>
  <c r="L52" i="6"/>
  <c r="X32" i="6"/>
  <c r="X35" i="6"/>
  <c r="J48" i="6"/>
  <c r="R45" i="6" s="1"/>
  <c r="K48" i="6"/>
  <c r="S45" i="6" s="1"/>
  <c r="H48" i="6"/>
  <c r="P45" i="6" s="1"/>
  <c r="P46" i="6" s="1"/>
  <c r="I48" i="6"/>
  <c r="Q45" i="6" s="1"/>
  <c r="Q46" i="6" s="1"/>
  <c r="S46" i="6"/>
  <c r="W106" i="4"/>
  <c r="W108" i="4" s="1"/>
  <c r="X106" i="4"/>
  <c r="X108" i="4" s="1"/>
  <c r="Y106" i="4"/>
  <c r="Y108" i="4" s="1"/>
  <c r="Y111" i="4" s="1"/>
  <c r="Y112" i="4" s="1"/>
  <c r="Y41" i="4"/>
  <c r="Y43" i="4" s="1"/>
  <c r="Z43" i="4" s="1"/>
  <c r="X35" i="4"/>
  <c r="X43" i="4" s="1"/>
  <c r="X41" i="4"/>
  <c r="W41" i="4"/>
  <c r="W43" i="4"/>
  <c r="V41" i="4"/>
  <c r="V43" i="4" s="1"/>
  <c r="O23" i="4"/>
  <c r="R46" i="6" l="1"/>
  <c r="S104" i="6"/>
  <c r="S106" i="6" s="1"/>
  <c r="X98" i="6"/>
  <c r="X100" i="6" s="1"/>
  <c r="X101" i="6" s="1"/>
  <c r="X95" i="6" s="1"/>
  <c r="X92" i="6"/>
  <c r="S48" i="6"/>
  <c r="X33" i="6" s="1"/>
  <c r="X34" i="6" s="1"/>
  <c r="H25" i="6"/>
  <c r="P18" i="6" s="1"/>
  <c r="P19" i="6" s="1"/>
  <c r="I25" i="6"/>
  <c r="Q18" i="6" s="1"/>
  <c r="Q19" i="6" s="1"/>
  <c r="J25" i="6"/>
  <c r="R18" i="6" s="1"/>
  <c r="R19" i="6" s="1"/>
  <c r="I54" i="6"/>
  <c r="Q47" i="6" s="1"/>
  <c r="Q48" i="6" s="1"/>
  <c r="K54" i="6"/>
  <c r="S47" i="6" s="1"/>
  <c r="J54" i="6"/>
  <c r="R47" i="6" s="1"/>
  <c r="R48" i="6" s="1"/>
  <c r="H54" i="6"/>
  <c r="P47" i="6" s="1"/>
  <c r="P48" i="6" s="1"/>
  <c r="R105" i="6"/>
  <c r="R106" i="6" s="1"/>
  <c r="P105" i="6"/>
  <c r="P106" i="6" s="1"/>
  <c r="Q105" i="6"/>
  <c r="Q106" i="6" s="1"/>
  <c r="M12" i="4"/>
  <c r="N12" i="4"/>
  <c r="L12" i="4"/>
  <c r="C16" i="4"/>
  <c r="D24" i="5"/>
  <c r="E24" i="5" s="1"/>
  <c r="E17" i="5"/>
  <c r="D17" i="5"/>
  <c r="C17" i="5"/>
  <c r="F8" i="5"/>
  <c r="F7" i="5"/>
  <c r="D23" i="5" s="1"/>
  <c r="F4" i="5"/>
  <c r="F3" i="5"/>
  <c r="X94" i="6" l="1"/>
  <c r="O12" i="4"/>
  <c r="F17" i="5"/>
  <c r="E25" i="5" s="1"/>
  <c r="E23" i="5"/>
  <c r="E26" i="5" s="1"/>
  <c r="D25" i="5"/>
  <c r="D26" i="5" s="1"/>
  <c r="D27" i="5" l="1"/>
  <c r="D28" i="5" s="1"/>
  <c r="E27" i="5"/>
  <c r="E28" i="5" s="1"/>
  <c r="G6" i="4" l="1"/>
  <c r="G7" i="4"/>
  <c r="G8" i="4"/>
  <c r="O15" i="4"/>
  <c r="F6" i="4"/>
  <c r="F7" i="4"/>
  <c r="H7" i="4" s="1"/>
  <c r="O21" i="4"/>
  <c r="N5" i="4"/>
  <c r="T3" i="4" s="1"/>
  <c r="T6" i="4" s="1"/>
  <c r="N7" i="4"/>
  <c r="N8" i="4"/>
  <c r="T8" i="4" s="1"/>
  <c r="N9" i="4"/>
  <c r="T9" i="4" s="1"/>
  <c r="N11" i="4"/>
  <c r="T11" i="4" s="1"/>
  <c r="S6" i="4"/>
  <c r="M9" i="4"/>
  <c r="S9" i="4" s="1"/>
  <c r="M11" i="4"/>
  <c r="S11" i="4" s="1"/>
  <c r="R6" i="4"/>
  <c r="L9" i="4"/>
  <c r="R9" i="4" s="1"/>
  <c r="L11" i="4"/>
  <c r="R11" i="4" s="1"/>
  <c r="F3" i="4"/>
  <c r="H3" i="4" s="1"/>
  <c r="H4" i="4"/>
  <c r="H8" i="4"/>
  <c r="H9" i="4"/>
  <c r="H10" i="4"/>
  <c r="C4" i="4"/>
  <c r="C13" i="4" s="1"/>
  <c r="O2" i="4"/>
  <c r="H6" i="4" l="1"/>
  <c r="H11" i="4" s="1"/>
  <c r="H12" i="4" s="1"/>
  <c r="H13" i="4" s="1"/>
  <c r="H15" i="4" s="1"/>
  <c r="O84" i="4" s="1"/>
  <c r="F11" i="4"/>
  <c r="P70" i="4" s="1"/>
  <c r="G11" i="4"/>
  <c r="O16" i="4"/>
  <c r="M18" i="4" s="1"/>
  <c r="S15" i="4" s="1"/>
  <c r="P45" i="4"/>
  <c r="T12" i="4"/>
  <c r="T14" i="4" s="1"/>
  <c r="R12" i="4"/>
  <c r="R14" i="4" s="1"/>
  <c r="S12" i="4"/>
  <c r="S14" i="4" s="1"/>
  <c r="O22" i="4" l="1"/>
  <c r="M24" i="4" s="1"/>
  <c r="S17" i="4" s="1"/>
  <c r="S18" i="4" s="1"/>
  <c r="S20" i="4" s="1"/>
  <c r="P76" i="4"/>
  <c r="N72" i="4"/>
  <c r="X69" i="4" s="1"/>
  <c r="X70" i="4" s="1"/>
  <c r="M72" i="4"/>
  <c r="W69" i="4" s="1"/>
  <c r="W70" i="4" s="1"/>
  <c r="L72" i="4"/>
  <c r="V69" i="4" s="1"/>
  <c r="V70" i="4" s="1"/>
  <c r="O72" i="4"/>
  <c r="Y69" i="4" s="1"/>
  <c r="Y70" i="4" s="1"/>
  <c r="N24" i="4"/>
  <c r="T17" i="4" s="1"/>
  <c r="S16" i="4"/>
  <c r="L18" i="4"/>
  <c r="R15" i="4" s="1"/>
  <c r="R16" i="4" s="1"/>
  <c r="P51" i="4"/>
  <c r="M53" i="4" s="1"/>
  <c r="W46" i="4" s="1"/>
  <c r="N18" i="4"/>
  <c r="T15" i="4" s="1"/>
  <c r="T16" i="4" s="1"/>
  <c r="L24" i="4"/>
  <c r="R17" i="4" s="1"/>
  <c r="O47" i="4"/>
  <c r="L47" i="4"/>
  <c r="M47" i="4"/>
  <c r="N47" i="4"/>
  <c r="N78" i="4" l="1"/>
  <c r="X71" i="4" s="1"/>
  <c r="X72" i="4" s="1"/>
  <c r="O78" i="4"/>
  <c r="Y71" i="4" s="1"/>
  <c r="Y72" i="4" s="1"/>
  <c r="L78" i="4"/>
  <c r="V71" i="4" s="1"/>
  <c r="V72" i="4" s="1"/>
  <c r="M78" i="4"/>
  <c r="W71" i="4" s="1"/>
  <c r="W72" i="4" s="1"/>
  <c r="R18" i="4"/>
  <c r="R20" i="4" s="1"/>
  <c r="O53" i="4"/>
  <c r="Y46" i="4" s="1"/>
  <c r="N53" i="4"/>
  <c r="X46" i="4" s="1"/>
  <c r="L53" i="4"/>
  <c r="V46" i="4" s="1"/>
  <c r="T18" i="4"/>
  <c r="T20" i="4" s="1"/>
  <c r="O18" i="4"/>
  <c r="V44" i="4"/>
  <c r="V45" i="4" s="1"/>
  <c r="Y44" i="4"/>
  <c r="Y45" i="4" s="1"/>
  <c r="Y47" i="4" s="1"/>
  <c r="X44" i="4"/>
  <c r="X45" i="4" s="1"/>
  <c r="W44" i="4"/>
  <c r="W45" i="4" s="1"/>
  <c r="W47" i="4" s="1"/>
  <c r="N83" i="4" l="1"/>
  <c r="O83" i="4" s="1"/>
  <c r="Y75" i="4"/>
  <c r="Y76" i="4" s="1"/>
  <c r="Y50" i="4"/>
  <c r="Y51" i="4" s="1"/>
  <c r="N82" i="4"/>
  <c r="O82" i="4" s="1"/>
  <c r="V47" i="4"/>
  <c r="X47" i="4"/>
</calcChain>
</file>

<file path=xl/sharedStrings.xml><?xml version="1.0" encoding="utf-8"?>
<sst xmlns="http://schemas.openxmlformats.org/spreadsheetml/2006/main" count="557" uniqueCount="123">
  <si>
    <t>Sales</t>
  </si>
  <si>
    <t>COGS</t>
  </si>
  <si>
    <t>Gross Profit</t>
  </si>
  <si>
    <t>Rent</t>
  </si>
  <si>
    <t>Utilities</t>
  </si>
  <si>
    <t>Phone</t>
  </si>
  <si>
    <t>Salary</t>
  </si>
  <si>
    <t>Misc</t>
  </si>
  <si>
    <t>Net Profit</t>
  </si>
  <si>
    <t>Factory</t>
  </si>
  <si>
    <t>Admin</t>
  </si>
  <si>
    <t>Uitilites</t>
  </si>
  <si>
    <t>Total</t>
  </si>
  <si>
    <t>Maint</t>
  </si>
  <si>
    <t>Mat &amp; Lab</t>
  </si>
  <si>
    <t>T-Shirts</t>
  </si>
  <si>
    <t>Boxers</t>
  </si>
  <si>
    <t>Coveralls</t>
  </si>
  <si>
    <t>Direct Cost</t>
  </si>
  <si>
    <t>OH</t>
  </si>
  <si>
    <t>Full Cost</t>
  </si>
  <si>
    <t>Fabric per unit (metres)</t>
  </si>
  <si>
    <t>Cost per metre</t>
  </si>
  <si>
    <t>Velcro / Elastic (per unit)</t>
  </si>
  <si>
    <t>Knit (8hrs - 4000 m)</t>
  </si>
  <si>
    <t>Dye ($1.15 per metre)</t>
  </si>
  <si>
    <t>Cut (8hrs - 4500 m)</t>
  </si>
  <si>
    <t>Sew (units per 8hrs)</t>
  </si>
  <si>
    <t>Package (units per 8hrs)</t>
  </si>
  <si>
    <t>Estimate of cost per unit</t>
  </si>
  <si>
    <t>Material : Fabric</t>
  </si>
  <si>
    <t>Material : Dye</t>
  </si>
  <si>
    <t>Material : Velcro / Elastic</t>
  </si>
  <si>
    <t>Material Cost</t>
  </si>
  <si>
    <t>Labour: Knit @$20 phr</t>
  </si>
  <si>
    <t>Labour: Cut @$15 phr</t>
  </si>
  <si>
    <t>Labour: Sew @$15 phr</t>
  </si>
  <si>
    <t>Labour: Package @$15 phr</t>
  </si>
  <si>
    <t>Labour Cost</t>
  </si>
  <si>
    <t>Computation of OH Absorption rate</t>
  </si>
  <si>
    <t>Units pm (Current)</t>
  </si>
  <si>
    <t>Sew hr per units</t>
  </si>
  <si>
    <t>Annual Sew hours</t>
  </si>
  <si>
    <t>Factory OH Absorption rate</t>
  </si>
  <si>
    <t>Factory OH per unit</t>
  </si>
  <si>
    <t>Admin OH Absorption rate</t>
  </si>
  <si>
    <t>Admin OH per unit</t>
  </si>
  <si>
    <t>Production Cost</t>
  </si>
  <si>
    <t>Profit Margin</t>
  </si>
  <si>
    <t>Table 1</t>
  </si>
  <si>
    <t>Fabricating</t>
  </si>
  <si>
    <t>Machining</t>
  </si>
  <si>
    <t>Assembly</t>
  </si>
  <si>
    <t>OVERALL</t>
  </si>
  <si>
    <t>CEO's remarks - "We just lost the bid for Koopers job by $2000. It seems that we're either too high to get the job</t>
  </si>
  <si>
    <t>Mfg OH $</t>
  </si>
  <si>
    <t>or too low to make any money on half the jobs we bid."</t>
  </si>
  <si>
    <t>Direct Lab $</t>
  </si>
  <si>
    <t>The company uses a plantwide predetermined OH rate based on Direct Labor Cost.</t>
  </si>
  <si>
    <t>Table 2</t>
  </si>
  <si>
    <t>For Koopers job</t>
  </si>
  <si>
    <t>Data at the three Dept level for Manufacturing OH and the Direct Lab Cost</t>
  </si>
  <si>
    <t>Direct Mat $</t>
  </si>
  <si>
    <t>Info pertaining to a select job - Koopers job</t>
  </si>
  <si>
    <t>Questions for Analysis</t>
  </si>
  <si>
    <t>Step by Step ANALYSIS</t>
  </si>
  <si>
    <t>Arrive at the plantwide predetermined OH rate based on existing approach and the unit cost for Koopers job</t>
  </si>
  <si>
    <t>Plantwide OH Absorption rate</t>
  </si>
  <si>
    <t>Perform the same analysis using Department wise OH rate</t>
  </si>
  <si>
    <t>In case of Koopers job, can you explain why costs vary so much based on these two computations</t>
  </si>
  <si>
    <t>Given a 50% markup on total cost, arrive at the bid price under both approaches and draw implications</t>
  </si>
  <si>
    <t>Departmental OH Absorption rate</t>
  </si>
  <si>
    <t>Concept check - Think of different cost driver candidates for plantwide OH rate</t>
  </si>
  <si>
    <t>DL share</t>
  </si>
  <si>
    <t>Bidding rate under various appraoches</t>
  </si>
  <si>
    <t>Plant OH</t>
  </si>
  <si>
    <t>Dept OH</t>
  </si>
  <si>
    <t>D Mat</t>
  </si>
  <si>
    <t>D Lab</t>
  </si>
  <si>
    <t>Total Cost</t>
  </si>
  <si>
    <t>Markup</t>
  </si>
  <si>
    <t>Bid Price</t>
  </si>
  <si>
    <t>Total direct cost -&gt; prime cost</t>
  </si>
  <si>
    <t xml:space="preserve">cutting hour not as driver because it will ending up distorting as it is a barely used resource </t>
  </si>
  <si>
    <t>when we decide on absorption -&gt; normal volume</t>
  </si>
  <si>
    <t>why normal?</t>
  </si>
  <si>
    <t>I will not look at abnormal volume</t>
  </si>
  <si>
    <t>1320 -&gt; normal</t>
  </si>
  <si>
    <t>1350 -&gt; actual</t>
  </si>
  <si>
    <t>Washable Trousers</t>
  </si>
  <si>
    <t>Full cost per month</t>
  </si>
  <si>
    <t>Washable trousers bid</t>
  </si>
  <si>
    <t>Selling price per unit (22.98% margin)</t>
  </si>
  <si>
    <t>additional unit -&gt; 4688</t>
  </si>
  <si>
    <t>Full cost per unit</t>
  </si>
  <si>
    <t>Firm order</t>
  </si>
  <si>
    <t>Firm order + min additional order</t>
  </si>
  <si>
    <t>Firm order + max additional order</t>
  </si>
  <si>
    <t xml:space="preserve">Units </t>
  </si>
  <si>
    <t>Full cost pu</t>
  </si>
  <si>
    <t>Bid price at 22.8% margin</t>
  </si>
  <si>
    <t>Bid price at marginal cost</t>
  </si>
  <si>
    <t>For Cargo pants</t>
  </si>
  <si>
    <t>Cargo pants (rayon)</t>
  </si>
  <si>
    <t>Cargo shorts (cotton)</t>
  </si>
  <si>
    <t>Salary increase-&gt; 20000</t>
  </si>
  <si>
    <t>production related utility -&gt; 30%</t>
  </si>
  <si>
    <t>Units</t>
  </si>
  <si>
    <t>Firm order 2500 units per month</t>
  </si>
  <si>
    <t>Marginal cost</t>
  </si>
  <si>
    <t>Bid price at 22.98% margin</t>
  </si>
  <si>
    <t>Revenue (22.98%)</t>
  </si>
  <si>
    <t>Direct cost</t>
  </si>
  <si>
    <t xml:space="preserve">at 22.98% </t>
  </si>
  <si>
    <t>pu</t>
  </si>
  <si>
    <t>Full cost</t>
  </si>
  <si>
    <t>Bid price @ 22.98% margin</t>
  </si>
  <si>
    <t>Marginal cost (min bid price)</t>
  </si>
  <si>
    <t>Cargo pants and shorts</t>
  </si>
  <si>
    <t>Marginal cost pu</t>
  </si>
  <si>
    <t>Total direct cost</t>
  </si>
  <si>
    <t>Salary + Utility increase</t>
  </si>
  <si>
    <t>For Cargo Pants (Rayon)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</si>
</sst>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(* #,##0_);_(* \(#,##0\);_(* &quot;-&quot;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10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66" fontId="0" fillId="0" borderId="0" xfId="1" applyNumberFormat="1" applyFont="1"/>
    <xf numFmtId="166" fontId="1" fillId="0" borderId="0" xfId="0" applyNumberFormat="1" applyFont="1"/>
    <xf numFmtId="9" fontId="0" fillId="2" borderId="0" xfId="2" applyFont="1" applyFill="1"/>
    <xf numFmtId="166" fontId="0" fillId="0" borderId="0" xfId="0" applyNumberFormat="1"/>
    <xf numFmtId="166" fontId="0" fillId="2" borderId="0" xfId="0" applyNumberFormat="1" applyFill="1"/>
    <xf numFmtId="166" fontId="0" fillId="0" borderId="1" xfId="0" applyNumberFormat="1" applyBorder="1"/>
    <xf numFmtId="167" fontId="0" fillId="0" borderId="1" xfId="0" applyNumberFormat="1" applyBorder="1"/>
    <xf numFmtId="9" fontId="0" fillId="3" borderId="0" xfId="2" applyFont="1" applyFill="1"/>
    <xf numFmtId="166" fontId="1" fillId="3" borderId="0" xfId="0" applyNumberFormat="1" applyFont="1" applyFill="1"/>
    <xf numFmtId="164" fontId="0" fillId="0" borderId="0" xfId="1" applyFont="1"/>
    <xf numFmtId="164" fontId="1" fillId="0" borderId="0" xfId="1" applyFont="1"/>
    <xf numFmtId="164" fontId="0" fillId="0" borderId="1" xfId="1" applyFont="1" applyBorder="1"/>
    <xf numFmtId="0" fontId="0" fillId="0" borderId="2" xfId="0" applyBorder="1"/>
    <xf numFmtId="164" fontId="0" fillId="0" borderId="2" xfId="1" applyFont="1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  <xf numFmtId="164" fontId="0" fillId="0" borderId="2" xfId="0" applyNumberFormat="1" applyBorder="1"/>
    <xf numFmtId="43" fontId="0" fillId="0" borderId="0" xfId="0" applyNumberFormat="1"/>
    <xf numFmtId="43" fontId="1" fillId="0" borderId="0" xfId="0" applyNumberFormat="1" applyFont="1"/>
    <xf numFmtId="10" fontId="1" fillId="0" borderId="0" xfId="2" applyNumberFormat="1" applyFont="1"/>
    <xf numFmtId="43" fontId="0" fillId="0" borderId="2" xfId="0" applyNumberFormat="1" applyBorder="1"/>
    <xf numFmtId="164" fontId="0" fillId="0" borderId="0" xfId="1" applyFont="1" applyBorder="1"/>
    <xf numFmtId="2" fontId="1" fillId="0" borderId="0" xfId="0" applyNumberFormat="1" applyFont="1"/>
    <xf numFmtId="2" fontId="0" fillId="0" borderId="1" xfId="0" applyNumberFormat="1" applyBorder="1"/>
    <xf numFmtId="0" fontId="0" fillId="4" borderId="0" xfId="0" applyFill="1"/>
    <xf numFmtId="2" fontId="0" fillId="0" borderId="2" xfId="0" applyNumberFormat="1" applyBorder="1"/>
    <xf numFmtId="0" fontId="0" fillId="0" borderId="0" xfId="0" applyAlignment="1">
      <alignment wrapText="1"/>
    </xf>
    <xf numFmtId="2" fontId="0" fillId="0" borderId="6" xfId="0" applyNumberFormat="1" applyBorder="1"/>
    <xf numFmtId="0" fontId="0" fillId="0" borderId="0" xfId="0" applyBorder="1"/>
    <xf numFmtId="2" fontId="0" fillId="0" borderId="0" xfId="0" applyNumberFormat="1" applyBorder="1"/>
    <xf numFmtId="43" fontId="0" fillId="0" borderId="0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8"/>
  <sheetViews>
    <sheetView zoomScale="120" zoomScaleNormal="120" workbookViewId="0">
      <selection activeCell="B13" sqref="B13"/>
    </sheetView>
  </sheetViews>
  <sheetFormatPr defaultRowHeight="15" x14ac:dyDescent="0.25"/>
  <cols>
    <col min="2" max="2" width="12.7109375" customWidth="1"/>
    <col min="3" max="3" width="11.5703125" bestFit="1" customWidth="1"/>
    <col min="4" max="4" width="9.5703125" bestFit="1" customWidth="1"/>
  </cols>
  <sheetData>
    <row r="2" spans="1:10" x14ac:dyDescent="0.25">
      <c r="A2" t="s">
        <v>49</v>
      </c>
      <c r="C2" t="s">
        <v>50</v>
      </c>
      <c r="D2" t="s">
        <v>51</v>
      </c>
      <c r="E2" t="s">
        <v>52</v>
      </c>
      <c r="F2" t="s">
        <v>53</v>
      </c>
      <c r="I2" s="1" t="s">
        <v>54</v>
      </c>
    </row>
    <row r="3" spans="1:10" x14ac:dyDescent="0.25">
      <c r="B3" t="s">
        <v>55</v>
      </c>
      <c r="C3" s="10">
        <v>350000</v>
      </c>
      <c r="D3" s="10">
        <v>400000</v>
      </c>
      <c r="E3" s="10">
        <v>90000</v>
      </c>
      <c r="F3" s="10">
        <f>SUM(C3:E3)</f>
        <v>840000</v>
      </c>
      <c r="I3" s="1" t="s">
        <v>56</v>
      </c>
    </row>
    <row r="4" spans="1:10" x14ac:dyDescent="0.25">
      <c r="B4" t="s">
        <v>57</v>
      </c>
      <c r="C4" s="10">
        <v>200000</v>
      </c>
      <c r="D4" s="10">
        <v>100000</v>
      </c>
      <c r="E4" s="10">
        <v>300000</v>
      </c>
      <c r="F4" s="10">
        <f>SUM(C4:E4)</f>
        <v>600000</v>
      </c>
    </row>
    <row r="5" spans="1:10" x14ac:dyDescent="0.25">
      <c r="I5" t="s">
        <v>58</v>
      </c>
    </row>
    <row r="6" spans="1:10" x14ac:dyDescent="0.25">
      <c r="A6" t="s">
        <v>59</v>
      </c>
      <c r="B6" t="s">
        <v>60</v>
      </c>
      <c r="I6" t="s">
        <v>49</v>
      </c>
      <c r="J6" t="s">
        <v>61</v>
      </c>
    </row>
    <row r="7" spans="1:10" x14ac:dyDescent="0.25">
      <c r="B7" t="s">
        <v>62</v>
      </c>
      <c r="C7" s="10">
        <v>3000</v>
      </c>
      <c r="D7" s="10">
        <v>200</v>
      </c>
      <c r="E7" s="10">
        <v>1400</v>
      </c>
      <c r="F7" s="10">
        <f>SUM(C7:E7)</f>
        <v>4600</v>
      </c>
      <c r="I7" t="s">
        <v>59</v>
      </c>
      <c r="J7" t="s">
        <v>63</v>
      </c>
    </row>
    <row r="8" spans="1:10" x14ac:dyDescent="0.25">
      <c r="B8" t="s">
        <v>57</v>
      </c>
      <c r="C8" s="10">
        <v>2800</v>
      </c>
      <c r="D8" s="10">
        <v>500</v>
      </c>
      <c r="E8" s="10">
        <v>6200</v>
      </c>
      <c r="F8" s="10">
        <f>SUM(C8:E8)</f>
        <v>9500</v>
      </c>
    </row>
    <row r="9" spans="1:10" x14ac:dyDescent="0.25">
      <c r="I9" t="s">
        <v>64</v>
      </c>
    </row>
    <row r="10" spans="1:10" x14ac:dyDescent="0.25">
      <c r="A10" s="1" t="s">
        <v>65</v>
      </c>
      <c r="I10">
        <v>1</v>
      </c>
      <c r="J10" t="s">
        <v>66</v>
      </c>
    </row>
    <row r="11" spans="1:10" x14ac:dyDescent="0.25">
      <c r="A11">
        <v>1</v>
      </c>
      <c r="B11" t="s">
        <v>67</v>
      </c>
      <c r="E11" s="17"/>
      <c r="I11">
        <v>2</v>
      </c>
      <c r="J11" t="s">
        <v>68</v>
      </c>
    </row>
    <row r="12" spans="1:10" x14ac:dyDescent="0.25">
      <c r="B12" t="s">
        <v>60</v>
      </c>
      <c r="E12" s="18"/>
      <c r="I12">
        <v>3</v>
      </c>
      <c r="J12" t="s">
        <v>69</v>
      </c>
    </row>
    <row r="13" spans="1:10" x14ac:dyDescent="0.25">
      <c r="I13">
        <v>4</v>
      </c>
      <c r="J13" t="s">
        <v>70</v>
      </c>
    </row>
    <row r="14" spans="1:10" x14ac:dyDescent="0.25">
      <c r="A14">
        <v>2</v>
      </c>
      <c r="B14" t="s">
        <v>71</v>
      </c>
    </row>
    <row r="15" spans="1:10" x14ac:dyDescent="0.25">
      <c r="C15" s="17"/>
      <c r="D15" s="17"/>
      <c r="E15" s="12"/>
      <c r="I15" t="s">
        <v>72</v>
      </c>
    </row>
    <row r="16" spans="1:10" x14ac:dyDescent="0.25">
      <c r="B16" t="s">
        <v>60</v>
      </c>
    </row>
    <row r="17" spans="1:6" x14ac:dyDescent="0.25">
      <c r="C17" s="13">
        <f>C8*C15</f>
        <v>0</v>
      </c>
      <c r="D17" s="13">
        <f>D8*D15</f>
        <v>0</v>
      </c>
      <c r="E17" s="14">
        <f>E8*E15</f>
        <v>0</v>
      </c>
      <c r="F17" s="11">
        <f>SUM(C17:E17)</f>
        <v>0</v>
      </c>
    </row>
    <row r="19" spans="1:6" x14ac:dyDescent="0.25">
      <c r="A19">
        <v>3</v>
      </c>
      <c r="B19" t="s">
        <v>73</v>
      </c>
      <c r="C19" s="17"/>
      <c r="D19" s="17"/>
      <c r="E19" s="17"/>
    </row>
    <row r="21" spans="1:6" x14ac:dyDescent="0.25">
      <c r="A21">
        <v>4</v>
      </c>
      <c r="B21" t="s">
        <v>74</v>
      </c>
    </row>
    <row r="22" spans="1:6" x14ac:dyDescent="0.25">
      <c r="D22" t="s">
        <v>75</v>
      </c>
      <c r="E22" t="s">
        <v>76</v>
      </c>
    </row>
    <row r="23" spans="1:6" x14ac:dyDescent="0.25">
      <c r="C23" t="s">
        <v>77</v>
      </c>
      <c r="D23" s="13">
        <f>F7</f>
        <v>4600</v>
      </c>
      <c r="E23" s="13">
        <f>D23</f>
        <v>4600</v>
      </c>
    </row>
    <row r="24" spans="1:6" x14ac:dyDescent="0.25">
      <c r="C24" t="s">
        <v>78</v>
      </c>
      <c r="D24" s="13">
        <f>F8</f>
        <v>9500</v>
      </c>
      <c r="E24" s="13">
        <f>D24</f>
        <v>9500</v>
      </c>
    </row>
    <row r="25" spans="1:6" x14ac:dyDescent="0.25">
      <c r="C25" t="s">
        <v>19</v>
      </c>
      <c r="D25" s="15">
        <f>E12</f>
        <v>0</v>
      </c>
      <c r="E25" s="15">
        <f>F17</f>
        <v>0</v>
      </c>
    </row>
    <row r="26" spans="1:6" x14ac:dyDescent="0.25">
      <c r="C26" t="s">
        <v>79</v>
      </c>
      <c r="D26" s="13">
        <f>SUM(D23:D25)</f>
        <v>14100</v>
      </c>
      <c r="E26" s="13">
        <f>SUM(E23:E25)</f>
        <v>14100</v>
      </c>
    </row>
    <row r="27" spans="1:6" x14ac:dyDescent="0.25">
      <c r="C27" t="s">
        <v>80</v>
      </c>
      <c r="D27" s="16">
        <f>D26*0.5</f>
        <v>7050</v>
      </c>
      <c r="E27" s="16">
        <f>E26*0.5</f>
        <v>7050</v>
      </c>
    </row>
    <row r="28" spans="1:6" x14ac:dyDescent="0.25">
      <c r="C28" s="1" t="s">
        <v>81</v>
      </c>
      <c r="D28" s="11">
        <f>D26+D27</f>
        <v>21150</v>
      </c>
      <c r="E28" s="11">
        <f>E26+E27</f>
        <v>21150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23"/>
  <sheetViews>
    <sheetView topLeftCell="H83" zoomScaleNormal="100" workbookViewId="0">
      <selection activeCell="P105" sqref="P105"/>
    </sheetView>
  </sheetViews>
  <sheetFormatPr defaultRowHeight="15" x14ac:dyDescent="0.25"/>
  <cols>
    <col min="2" max="2" width="11.28515625" bestFit="1" customWidth="1"/>
    <col min="3" max="3" width="13.28515625" bestFit="1" customWidth="1"/>
    <col min="5" max="5" width="22.85546875" customWidth="1"/>
    <col min="6" max="7" width="12.140625" bestFit="1" customWidth="1"/>
    <col min="8" max="8" width="14" bestFit="1" customWidth="1"/>
    <col min="11" max="11" width="34.28515625" customWidth="1"/>
    <col min="12" max="12" width="11.5703125" bestFit="1" customWidth="1"/>
    <col min="14" max="14" width="12.7109375" bestFit="1" customWidth="1"/>
    <col min="15" max="15" width="24.42578125" bestFit="1" customWidth="1"/>
    <col min="16" max="16" width="16.28515625" customWidth="1"/>
    <col min="17" max="17" width="28" customWidth="1"/>
    <col min="18" max="18" width="11.5703125" bestFit="1" customWidth="1"/>
    <col min="21" max="21" width="37.7109375" customWidth="1"/>
    <col min="25" max="25" width="18.42578125" bestFit="1" customWidth="1"/>
  </cols>
  <sheetData>
    <row r="1" spans="2:22" x14ac:dyDescent="0.25">
      <c r="F1" s="1" t="s">
        <v>9</v>
      </c>
      <c r="G1" s="1" t="s">
        <v>10</v>
      </c>
      <c r="H1" s="1" t="s">
        <v>12</v>
      </c>
      <c r="L1" t="s">
        <v>17</v>
      </c>
      <c r="M1" t="s">
        <v>16</v>
      </c>
      <c r="N1" t="s">
        <v>15</v>
      </c>
      <c r="O1" t="s">
        <v>12</v>
      </c>
      <c r="Q1" s="1" t="s">
        <v>29</v>
      </c>
      <c r="R1" t="s">
        <v>17</v>
      </c>
      <c r="S1" t="s">
        <v>16</v>
      </c>
      <c r="T1" t="s">
        <v>15</v>
      </c>
    </row>
    <row r="2" spans="2:22" x14ac:dyDescent="0.25">
      <c r="B2" t="s">
        <v>0</v>
      </c>
      <c r="C2" s="19">
        <v>1350000</v>
      </c>
      <c r="K2" t="s">
        <v>40</v>
      </c>
      <c r="L2">
        <v>2000</v>
      </c>
      <c r="M2">
        <v>5000</v>
      </c>
      <c r="N2">
        <v>3000</v>
      </c>
      <c r="O2">
        <f>SUM(L2:N2)</f>
        <v>10000</v>
      </c>
    </row>
    <row r="3" spans="2:22" x14ac:dyDescent="0.25">
      <c r="B3" t="s">
        <v>1</v>
      </c>
      <c r="C3" s="19">
        <v>945000</v>
      </c>
      <c r="E3" s="2" t="s">
        <v>14</v>
      </c>
      <c r="F3" s="21">
        <f>945000-59600</f>
        <v>885400</v>
      </c>
      <c r="G3" s="21"/>
      <c r="H3" s="21">
        <f t="shared" ref="H3:H4" si="0">SUM(F3:G3)</f>
        <v>885400</v>
      </c>
      <c r="Q3" t="s">
        <v>30</v>
      </c>
      <c r="R3">
        <f>L4*L5</f>
        <v>8.1000000000000014</v>
      </c>
      <c r="S3">
        <f t="shared" ref="S3:T3" si="1">M4*M5</f>
        <v>1.0640000000000001</v>
      </c>
      <c r="T3">
        <f t="shared" si="1"/>
        <v>1.0714285714285714</v>
      </c>
    </row>
    <row r="4" spans="2:22" x14ac:dyDescent="0.25">
      <c r="B4" t="s">
        <v>2</v>
      </c>
      <c r="C4" s="19">
        <f>C2-C3</f>
        <v>405000</v>
      </c>
      <c r="E4" t="s">
        <v>13</v>
      </c>
      <c r="F4" s="19">
        <v>2000</v>
      </c>
      <c r="G4" s="19"/>
      <c r="H4" s="19">
        <f t="shared" si="0"/>
        <v>2000</v>
      </c>
      <c r="K4" t="s">
        <v>21</v>
      </c>
      <c r="L4" s="4">
        <v>3</v>
      </c>
      <c r="M4" s="4">
        <v>1.1200000000000001</v>
      </c>
      <c r="N4" s="4">
        <v>1.1000000000000001</v>
      </c>
      <c r="Q4" t="s">
        <v>31</v>
      </c>
      <c r="T4">
        <f>1.15*1.1</f>
        <v>1.2649999999999999</v>
      </c>
    </row>
    <row r="5" spans="2:22" x14ac:dyDescent="0.25">
      <c r="C5" s="19"/>
      <c r="F5" s="19"/>
      <c r="G5" s="19"/>
      <c r="H5" s="19"/>
      <c r="K5" t="s">
        <v>22</v>
      </c>
      <c r="L5" s="4">
        <v>2.7</v>
      </c>
      <c r="M5" s="4">
        <v>0.95</v>
      </c>
      <c r="N5" s="5">
        <f>3.75/3.85</f>
        <v>0.97402597402597402</v>
      </c>
      <c r="Q5" t="s">
        <v>32</v>
      </c>
      <c r="R5">
        <v>0.25</v>
      </c>
      <c r="S5">
        <v>0.09</v>
      </c>
    </row>
    <row r="6" spans="2:22" x14ac:dyDescent="0.25">
      <c r="B6" t="s">
        <v>3</v>
      </c>
      <c r="C6" s="19">
        <v>11280</v>
      </c>
      <c r="E6" t="s">
        <v>3</v>
      </c>
      <c r="F6" s="19">
        <f>4700*0.8*12</f>
        <v>45120</v>
      </c>
      <c r="G6" s="19">
        <f>4700*0.2*12</f>
        <v>11280</v>
      </c>
      <c r="H6" s="19">
        <f>SUM(F6:G6)</f>
        <v>56400</v>
      </c>
      <c r="K6" t="s">
        <v>23</v>
      </c>
      <c r="L6">
        <v>0.25</v>
      </c>
      <c r="M6">
        <v>0.09</v>
      </c>
      <c r="Q6" s="6" t="s">
        <v>33</v>
      </c>
      <c r="R6" s="1">
        <f>SUM(R3:R5)</f>
        <v>8.3500000000000014</v>
      </c>
      <c r="S6" s="1">
        <f>SUM(S3:S5)</f>
        <v>1.1540000000000001</v>
      </c>
      <c r="T6" s="1">
        <f>SUM(T3:T5)</f>
        <v>2.3364285714285713</v>
      </c>
    </row>
    <row r="7" spans="2:22" x14ac:dyDescent="0.25">
      <c r="B7" t="s">
        <v>4</v>
      </c>
      <c r="C7" s="19">
        <v>3120</v>
      </c>
      <c r="E7" t="s">
        <v>11</v>
      </c>
      <c r="F7" s="19">
        <f>1300*0.8*12</f>
        <v>12480</v>
      </c>
      <c r="G7" s="19">
        <f>1300*0.2*12</f>
        <v>3120</v>
      </c>
      <c r="H7" s="19">
        <f>SUM(F7:G7)</f>
        <v>15600</v>
      </c>
      <c r="K7" t="s">
        <v>25</v>
      </c>
      <c r="N7">
        <f>1.15*N4</f>
        <v>1.2649999999999999</v>
      </c>
      <c r="V7" t="s">
        <v>82</v>
      </c>
    </row>
    <row r="8" spans="2:22" x14ac:dyDescent="0.25">
      <c r="B8" t="s">
        <v>5</v>
      </c>
      <c r="C8" s="19">
        <v>1800</v>
      </c>
      <c r="E8" t="s">
        <v>5</v>
      </c>
      <c r="F8" s="19"/>
      <c r="G8" s="19">
        <f>150*12</f>
        <v>1800</v>
      </c>
      <c r="H8" s="19">
        <f>SUM(F8:G8)</f>
        <v>1800</v>
      </c>
      <c r="K8" t="s">
        <v>24</v>
      </c>
      <c r="N8">
        <f>4000/N4</f>
        <v>3636.363636363636</v>
      </c>
      <c r="O8" s="8"/>
      <c r="Q8" t="s">
        <v>34</v>
      </c>
      <c r="T8">
        <f>(8/N8)*20</f>
        <v>4.4000000000000004E-2</v>
      </c>
    </row>
    <row r="9" spans="2:22" x14ac:dyDescent="0.25">
      <c r="B9" t="s">
        <v>6</v>
      </c>
      <c r="C9" s="19">
        <v>60000</v>
      </c>
      <c r="E9" t="s">
        <v>6</v>
      </c>
      <c r="F9" s="19"/>
      <c r="G9" s="19">
        <v>60000</v>
      </c>
      <c r="H9" s="19">
        <f>SUM(F9:G9)</f>
        <v>60000</v>
      </c>
      <c r="K9" t="s">
        <v>26</v>
      </c>
      <c r="L9">
        <f>4500/L4</f>
        <v>1500</v>
      </c>
      <c r="M9">
        <f t="shared" ref="M9:N9" si="2">4500/M4</f>
        <v>4017.8571428571427</v>
      </c>
      <c r="N9">
        <f t="shared" si="2"/>
        <v>4090.9090909090905</v>
      </c>
      <c r="O9" s="9"/>
      <c r="Q9" t="s">
        <v>35</v>
      </c>
      <c r="R9">
        <f>(8/L9)*15</f>
        <v>0.08</v>
      </c>
      <c r="S9">
        <f t="shared" ref="S9:T9" si="3">(8/M9)*15</f>
        <v>2.9866666666666666E-2</v>
      </c>
      <c r="T9">
        <f t="shared" si="3"/>
        <v>2.9333333333333336E-2</v>
      </c>
      <c r="V9" t="s">
        <v>83</v>
      </c>
    </row>
    <row r="10" spans="2:22" x14ac:dyDescent="0.25">
      <c r="B10" t="s">
        <v>7</v>
      </c>
      <c r="C10" s="19">
        <v>18600</v>
      </c>
      <c r="E10" t="s">
        <v>7</v>
      </c>
      <c r="F10" s="19"/>
      <c r="G10" s="19">
        <v>18600</v>
      </c>
      <c r="H10" s="19">
        <f>SUM(F10:G10)</f>
        <v>18600</v>
      </c>
      <c r="K10" t="s">
        <v>27</v>
      </c>
      <c r="L10">
        <v>21</v>
      </c>
      <c r="M10">
        <v>96</v>
      </c>
      <c r="N10">
        <v>140</v>
      </c>
      <c r="O10" s="8"/>
      <c r="Q10" t="s">
        <v>36</v>
      </c>
      <c r="R10">
        <f>15*(L23)</f>
        <v>5.7142857142857135</v>
      </c>
      <c r="S10">
        <f t="shared" ref="S10:T10" si="4">15*(M23)</f>
        <v>1.25</v>
      </c>
      <c r="T10">
        <f t="shared" si="4"/>
        <v>0.8571428571428571</v>
      </c>
    </row>
    <row r="11" spans="2:22" x14ac:dyDescent="0.25">
      <c r="C11" s="19"/>
      <c r="E11" s="1" t="s">
        <v>19</v>
      </c>
      <c r="F11" s="20">
        <f>SUM(F4:F10)</f>
        <v>59600</v>
      </c>
      <c r="G11" s="20">
        <f>SUM(G4:G10)</f>
        <v>94800</v>
      </c>
      <c r="H11" s="20">
        <f>SUM(H4:H10)</f>
        <v>154400</v>
      </c>
      <c r="K11" t="s">
        <v>28</v>
      </c>
      <c r="L11">
        <f>L10</f>
        <v>21</v>
      </c>
      <c r="M11">
        <f t="shared" ref="M11:N11" si="5">M10</f>
        <v>96</v>
      </c>
      <c r="N11">
        <f t="shared" si="5"/>
        <v>140</v>
      </c>
      <c r="O11" s="8"/>
      <c r="Q11" t="s">
        <v>37</v>
      </c>
      <c r="R11">
        <f>(8/L11)*15</f>
        <v>5.7142857142857135</v>
      </c>
      <c r="S11">
        <f t="shared" ref="S11:T11" si="6">(8/M11)*15</f>
        <v>1.25</v>
      </c>
      <c r="T11">
        <f t="shared" si="6"/>
        <v>0.8571428571428571</v>
      </c>
      <c r="V11" t="s">
        <v>84</v>
      </c>
    </row>
    <row r="12" spans="2:22" x14ac:dyDescent="0.25">
      <c r="C12" s="19"/>
      <c r="E12" s="1" t="s">
        <v>20</v>
      </c>
      <c r="F12" s="19"/>
      <c r="G12" s="19"/>
      <c r="H12" s="20">
        <f>H3+H11</f>
        <v>1039800</v>
      </c>
      <c r="L12">
        <f>(L2/L10)*8</f>
        <v>761.90476190476193</v>
      </c>
      <c r="M12">
        <f t="shared" ref="M12:N12" si="7">(M2/M10)*8</f>
        <v>416.66666666666669</v>
      </c>
      <c r="N12">
        <f t="shared" si="7"/>
        <v>171.42857142857142</v>
      </c>
      <c r="O12">
        <f>SUM(L12:N12)</f>
        <v>1350</v>
      </c>
      <c r="Q12" s="6" t="s">
        <v>38</v>
      </c>
      <c r="R12" s="1">
        <f t="shared" ref="R12:S12" si="8">SUM(R8:R11)</f>
        <v>11.508571428571427</v>
      </c>
      <c r="S12" s="1">
        <f t="shared" si="8"/>
        <v>2.5298666666666669</v>
      </c>
      <c r="T12" s="1">
        <f>SUM(T8:T11)</f>
        <v>1.7876190476190477</v>
      </c>
      <c r="V12" t="s">
        <v>85</v>
      </c>
    </row>
    <row r="13" spans="2:22" x14ac:dyDescent="0.25">
      <c r="B13" s="1" t="s">
        <v>8</v>
      </c>
      <c r="C13" s="20">
        <f>C4-SUM(C6:C10)</f>
        <v>310200</v>
      </c>
      <c r="E13" s="1" t="s">
        <v>8</v>
      </c>
      <c r="F13" s="19"/>
      <c r="G13" s="19"/>
      <c r="H13" s="20">
        <f>C2-H12</f>
        <v>310200</v>
      </c>
      <c r="K13" s="1" t="s">
        <v>39</v>
      </c>
      <c r="V13" t="s">
        <v>86</v>
      </c>
    </row>
    <row r="14" spans="2:22" x14ac:dyDescent="0.25">
      <c r="C14" s="19"/>
      <c r="F14" s="19"/>
      <c r="G14" s="19"/>
      <c r="H14" s="19"/>
      <c r="Q14" s="1" t="s">
        <v>18</v>
      </c>
      <c r="R14">
        <f>R6+R12</f>
        <v>19.85857142857143</v>
      </c>
      <c r="S14">
        <f t="shared" ref="S14:T14" si="9">S6+S12</f>
        <v>3.6838666666666668</v>
      </c>
      <c r="T14">
        <f t="shared" si="9"/>
        <v>4.1240476190476194</v>
      </c>
      <c r="V14" t="s">
        <v>87</v>
      </c>
    </row>
    <row r="15" spans="2:22" x14ac:dyDescent="0.25">
      <c r="C15" s="19"/>
      <c r="E15" s="1" t="s">
        <v>48</v>
      </c>
      <c r="F15" s="19"/>
      <c r="G15" s="19"/>
      <c r="H15" s="31">
        <f>H13/C2</f>
        <v>0.22977777777777778</v>
      </c>
      <c r="K15" t="s">
        <v>42</v>
      </c>
      <c r="O15">
        <f>1320*12</f>
        <v>15840</v>
      </c>
      <c r="Q15" t="s">
        <v>44</v>
      </c>
      <c r="R15" s="3">
        <f>L18</f>
        <v>1.4333814333814332</v>
      </c>
      <c r="S15" s="3">
        <f>M18</f>
        <v>0.31355218855218853</v>
      </c>
      <c r="T15" s="3">
        <f>N18</f>
        <v>0.21500721500721501</v>
      </c>
      <c r="V15" t="s">
        <v>88</v>
      </c>
    </row>
    <row r="16" spans="2:22" x14ac:dyDescent="0.25">
      <c r="C16" s="19">
        <f>SUM(C6:C10)+C3</f>
        <v>1039800</v>
      </c>
      <c r="K16" t="s">
        <v>43</v>
      </c>
      <c r="O16">
        <f>F11/O15</f>
        <v>3.7626262626262625</v>
      </c>
      <c r="Q16" s="1" t="s">
        <v>47</v>
      </c>
      <c r="R16" s="1">
        <f>SUM(R14:R15)</f>
        <v>21.291952861952865</v>
      </c>
      <c r="S16" s="1">
        <f t="shared" ref="S16:T16" si="10">SUM(S14:S15)</f>
        <v>3.9974188552188554</v>
      </c>
      <c r="T16" s="1">
        <f t="shared" si="10"/>
        <v>4.3390548340548341</v>
      </c>
    </row>
    <row r="17" spans="11:25" x14ac:dyDescent="0.25">
      <c r="K17" t="s">
        <v>41</v>
      </c>
      <c r="L17">
        <f>8/L10</f>
        <v>0.38095238095238093</v>
      </c>
      <c r="M17">
        <f t="shared" ref="M17:N17" si="11">8/M10</f>
        <v>8.3333333333333329E-2</v>
      </c>
      <c r="N17">
        <f t="shared" si="11"/>
        <v>5.7142857142857141E-2</v>
      </c>
      <c r="Q17" t="s">
        <v>46</v>
      </c>
      <c r="R17" s="3">
        <f>L24</f>
        <v>2.2799422799422797</v>
      </c>
      <c r="S17" s="3">
        <f>M24</f>
        <v>0.4987373737373737</v>
      </c>
      <c r="T17" s="3">
        <f>N24</f>
        <v>0.34199134199134196</v>
      </c>
    </row>
    <row r="18" spans="11:25" x14ac:dyDescent="0.25">
      <c r="K18" s="1" t="s">
        <v>44</v>
      </c>
      <c r="L18" s="1">
        <f>$O$16*L17</f>
        <v>1.4333814333814332</v>
      </c>
      <c r="M18" s="1">
        <f t="shared" ref="M18:N18" si="12">$O$16*M17</f>
        <v>0.31355218855218853</v>
      </c>
      <c r="N18" s="1">
        <f t="shared" si="12"/>
        <v>0.21500721500721501</v>
      </c>
      <c r="O18">
        <f>SUM(L18:N18)</f>
        <v>1.9619408369408369</v>
      </c>
      <c r="Q18" s="1" t="s">
        <v>20</v>
      </c>
      <c r="R18" s="1">
        <f>R16+R17</f>
        <v>23.571895141895144</v>
      </c>
      <c r="S18" s="1">
        <f t="shared" ref="S18:T18" si="13">S16+S17</f>
        <v>4.4961562289562291</v>
      </c>
      <c r="T18" s="1">
        <f t="shared" si="13"/>
        <v>4.6810461760461761</v>
      </c>
    </row>
    <row r="20" spans="11:25" x14ac:dyDescent="0.25">
      <c r="Q20" s="1" t="s">
        <v>90</v>
      </c>
      <c r="R20">
        <f>R18*L2</f>
        <v>47143.790283790288</v>
      </c>
      <c r="S20">
        <f t="shared" ref="S20:T20" si="14">S18*M2</f>
        <v>22480.781144781147</v>
      </c>
      <c r="T20">
        <f t="shared" si="14"/>
        <v>14043.138528138528</v>
      </c>
    </row>
    <row r="21" spans="11:25" x14ac:dyDescent="0.25">
      <c r="K21" t="s">
        <v>42</v>
      </c>
      <c r="O21">
        <f>1320*12</f>
        <v>15840</v>
      </c>
    </row>
    <row r="22" spans="11:25" x14ac:dyDescent="0.25">
      <c r="K22" t="s">
        <v>45</v>
      </c>
      <c r="O22">
        <f>G11/O21</f>
        <v>5.9848484848484844</v>
      </c>
    </row>
    <row r="23" spans="11:25" x14ac:dyDescent="0.25">
      <c r="K23" t="s">
        <v>41</v>
      </c>
      <c r="L23">
        <f>(8/L10)</f>
        <v>0.38095238095238093</v>
      </c>
      <c r="M23">
        <f t="shared" ref="M23:N23" si="15">(8/M10)</f>
        <v>8.3333333333333329E-2</v>
      </c>
      <c r="N23">
        <f t="shared" si="15"/>
        <v>5.7142857142857141E-2</v>
      </c>
      <c r="O23">
        <f>SUM(L23:N23)</f>
        <v>0.52142857142857135</v>
      </c>
    </row>
    <row r="24" spans="11:25" x14ac:dyDescent="0.25">
      <c r="K24" s="1" t="s">
        <v>46</v>
      </c>
      <c r="L24" s="1">
        <f>$O$22*L23</f>
        <v>2.2799422799422797</v>
      </c>
      <c r="M24" s="1">
        <f>$O$22*M23</f>
        <v>0.4987373737373737</v>
      </c>
      <c r="N24" s="1">
        <f>$O$22*N23</f>
        <v>0.34199134199134196</v>
      </c>
    </row>
    <row r="28" spans="11:25" x14ac:dyDescent="0.25">
      <c r="K28" s="1" t="s">
        <v>91</v>
      </c>
    </row>
    <row r="30" spans="11:25" x14ac:dyDescent="0.25">
      <c r="L30" t="s">
        <v>17</v>
      </c>
      <c r="M30" t="s">
        <v>16</v>
      </c>
      <c r="N30" t="s">
        <v>15</v>
      </c>
      <c r="O30" t="s">
        <v>89</v>
      </c>
      <c r="P30" t="s">
        <v>12</v>
      </c>
      <c r="U30" s="1" t="s">
        <v>29</v>
      </c>
      <c r="V30" t="s">
        <v>17</v>
      </c>
      <c r="W30" t="s">
        <v>16</v>
      </c>
      <c r="X30" t="s">
        <v>15</v>
      </c>
      <c r="Y30" t="s">
        <v>89</v>
      </c>
    </row>
    <row r="31" spans="11:25" x14ac:dyDescent="0.25">
      <c r="K31" t="s">
        <v>40</v>
      </c>
      <c r="L31">
        <v>2000</v>
      </c>
      <c r="M31">
        <v>5000</v>
      </c>
      <c r="N31">
        <v>3000</v>
      </c>
      <c r="O31">
        <f>28450/12</f>
        <v>2370.8333333333335</v>
      </c>
      <c r="P31">
        <f>SUM(L31:O31)</f>
        <v>12370.833333333334</v>
      </c>
    </row>
    <row r="32" spans="11:25" x14ac:dyDescent="0.25">
      <c r="U32" t="s">
        <v>30</v>
      </c>
      <c r="V32">
        <f>L33*L34</f>
        <v>8.1000000000000014</v>
      </c>
      <c r="W32">
        <f t="shared" ref="W32:Y32" si="16">M33*M34</f>
        <v>1.0640000000000001</v>
      </c>
      <c r="X32">
        <f t="shared" si="16"/>
        <v>1.0714285714285714</v>
      </c>
      <c r="Y32">
        <f t="shared" si="16"/>
        <v>4.6500000000000004</v>
      </c>
    </row>
    <row r="33" spans="10:26" x14ac:dyDescent="0.25">
      <c r="K33" t="s">
        <v>21</v>
      </c>
      <c r="L33" s="4">
        <v>3</v>
      </c>
      <c r="M33" s="4">
        <v>1.1200000000000001</v>
      </c>
      <c r="N33" s="4">
        <v>1.1000000000000001</v>
      </c>
      <c r="O33" s="4">
        <v>1.5</v>
      </c>
      <c r="U33" t="s">
        <v>31</v>
      </c>
      <c r="X33">
        <f>1.15*1.1</f>
        <v>1.2649999999999999</v>
      </c>
    </row>
    <row r="34" spans="10:26" x14ac:dyDescent="0.25">
      <c r="K34" t="s">
        <v>22</v>
      </c>
      <c r="L34" s="4">
        <v>2.7</v>
      </c>
      <c r="M34" s="4">
        <v>0.95</v>
      </c>
      <c r="N34" s="5">
        <f>3.75/3.85</f>
        <v>0.97402597402597402</v>
      </c>
      <c r="O34" s="5">
        <v>3.1</v>
      </c>
      <c r="U34" t="s">
        <v>32</v>
      </c>
      <c r="V34">
        <v>0.25</v>
      </c>
      <c r="W34">
        <v>0.09</v>
      </c>
      <c r="Y34">
        <v>0.45</v>
      </c>
    </row>
    <row r="35" spans="10:26" x14ac:dyDescent="0.25">
      <c r="K35" t="s">
        <v>23</v>
      </c>
      <c r="L35">
        <v>0.25</v>
      </c>
      <c r="M35">
        <v>0.09</v>
      </c>
      <c r="O35">
        <v>0.45</v>
      </c>
      <c r="U35" s="6" t="s">
        <v>33</v>
      </c>
      <c r="V35" s="1">
        <f>SUM(V32:V34)</f>
        <v>8.3500000000000014</v>
      </c>
      <c r="W35" s="1">
        <f>SUM(W32:W34)</f>
        <v>1.1540000000000001</v>
      </c>
      <c r="X35" s="1">
        <f>SUM(X32:X34)</f>
        <v>2.3364285714285713</v>
      </c>
      <c r="Y35" s="1">
        <f>SUM(Y32:Y34)</f>
        <v>5.1000000000000005</v>
      </c>
    </row>
    <row r="36" spans="10:26" x14ac:dyDescent="0.25">
      <c r="K36" t="s">
        <v>25</v>
      </c>
      <c r="N36">
        <f>1.15*N33</f>
        <v>1.2649999999999999</v>
      </c>
    </row>
    <row r="37" spans="10:26" x14ac:dyDescent="0.25">
      <c r="J37" s="1"/>
      <c r="K37" t="s">
        <v>24</v>
      </c>
      <c r="N37">
        <f>4000/N33</f>
        <v>3636.363636363636</v>
      </c>
      <c r="P37" s="8"/>
      <c r="U37" t="s">
        <v>34</v>
      </c>
      <c r="X37">
        <f>(8/N37)*20</f>
        <v>4.4000000000000004E-2</v>
      </c>
    </row>
    <row r="38" spans="10:26" x14ac:dyDescent="0.25">
      <c r="K38" t="s">
        <v>26</v>
      </c>
      <c r="L38">
        <f>4500/L33</f>
        <v>1500</v>
      </c>
      <c r="M38">
        <f>4500/M33</f>
        <v>4017.8571428571427</v>
      </c>
      <c r="N38">
        <f>4500/N33</f>
        <v>4090.9090909090905</v>
      </c>
      <c r="O38">
        <f>4500/O33</f>
        <v>3000</v>
      </c>
      <c r="P38" s="9"/>
      <c r="U38" t="s">
        <v>35</v>
      </c>
      <c r="V38">
        <f>(8/L38)*15</f>
        <v>0.08</v>
      </c>
      <c r="W38">
        <f>(8/M38)*15</f>
        <v>2.9866666666666666E-2</v>
      </c>
      <c r="X38">
        <f>(8/N38)*15</f>
        <v>2.9333333333333336E-2</v>
      </c>
      <c r="Y38">
        <f>(8/O38)*15</f>
        <v>0.04</v>
      </c>
    </row>
    <row r="39" spans="10:26" x14ac:dyDescent="0.25">
      <c r="K39" t="s">
        <v>27</v>
      </c>
      <c r="L39">
        <v>21</v>
      </c>
      <c r="M39">
        <v>96</v>
      </c>
      <c r="N39">
        <v>140</v>
      </c>
      <c r="O39">
        <v>35</v>
      </c>
      <c r="P39" s="8"/>
      <c r="U39" t="s">
        <v>36</v>
      </c>
      <c r="V39">
        <f>15*(L46)</f>
        <v>5.7142857142857135</v>
      </c>
      <c r="W39">
        <f t="shared" ref="W39:Y39" si="17">15*(M46)</f>
        <v>1.25</v>
      </c>
      <c r="X39">
        <f t="shared" si="17"/>
        <v>0.8571428571428571</v>
      </c>
      <c r="Y39">
        <f t="shared" si="17"/>
        <v>3.4285714285714284</v>
      </c>
    </row>
    <row r="40" spans="10:26" x14ac:dyDescent="0.25">
      <c r="K40" t="s">
        <v>28</v>
      </c>
      <c r="L40">
        <f>L39</f>
        <v>21</v>
      </c>
      <c r="M40">
        <f t="shared" ref="M40:N40" si="18">M39</f>
        <v>96</v>
      </c>
      <c r="N40">
        <f t="shared" si="18"/>
        <v>140</v>
      </c>
      <c r="O40">
        <v>35</v>
      </c>
      <c r="P40" s="8"/>
      <c r="U40" t="s">
        <v>37</v>
      </c>
      <c r="V40">
        <f>(8/L40)*15</f>
        <v>5.7142857142857135</v>
      </c>
      <c r="W40">
        <f>(8/M40)*15</f>
        <v>1.25</v>
      </c>
      <c r="X40">
        <f>(8/N40)*15</f>
        <v>0.8571428571428571</v>
      </c>
      <c r="Y40">
        <f>(8/O40)*15</f>
        <v>3.4285714285714284</v>
      </c>
    </row>
    <row r="41" spans="10:26" x14ac:dyDescent="0.25">
      <c r="U41" s="6" t="s">
        <v>38</v>
      </c>
      <c r="V41" s="1">
        <f t="shared" ref="V41:Y41" si="19">SUM(V37:V40)</f>
        <v>11.508571428571427</v>
      </c>
      <c r="W41" s="1">
        <f t="shared" si="19"/>
        <v>2.5298666666666669</v>
      </c>
      <c r="X41" s="1">
        <f t="shared" si="19"/>
        <v>1.7876190476190477</v>
      </c>
      <c r="Y41" s="1">
        <f t="shared" si="19"/>
        <v>6.8971428571428568</v>
      </c>
    </row>
    <row r="42" spans="10:26" x14ac:dyDescent="0.25">
      <c r="K42" s="1" t="s">
        <v>39</v>
      </c>
    </row>
    <row r="43" spans="10:26" x14ac:dyDescent="0.25">
      <c r="U43" s="1" t="s">
        <v>18</v>
      </c>
      <c r="V43">
        <f>V35+V41</f>
        <v>19.85857142857143</v>
      </c>
      <c r="W43">
        <f t="shared" ref="W43:Y43" si="20">W35+W41</f>
        <v>3.6838666666666668</v>
      </c>
      <c r="X43">
        <f t="shared" si="20"/>
        <v>4.1240476190476194</v>
      </c>
      <c r="Y43">
        <f t="shared" si="20"/>
        <v>11.997142857142858</v>
      </c>
      <c r="Z43">
        <f>Y43*28450</f>
        <v>341318.71428571432</v>
      </c>
    </row>
    <row r="44" spans="10:26" x14ac:dyDescent="0.25">
      <c r="K44" t="s">
        <v>42</v>
      </c>
      <c r="P44">
        <f>(1320*12)+((28450/35)*8)</f>
        <v>22342.857142857145</v>
      </c>
      <c r="U44" t="s">
        <v>44</v>
      </c>
      <c r="V44" s="3">
        <f>L47</f>
        <v>1.0161977834612104</v>
      </c>
      <c r="W44" s="3">
        <f t="shared" ref="W44:Y44" si="21">M47</f>
        <v>0.22229326513213979</v>
      </c>
      <c r="X44" s="3">
        <f t="shared" si="21"/>
        <v>0.15242966751918158</v>
      </c>
      <c r="Y44" s="3">
        <f t="shared" si="21"/>
        <v>0.60971867007672631</v>
      </c>
    </row>
    <row r="45" spans="10:26" x14ac:dyDescent="0.25">
      <c r="K45" t="s">
        <v>43</v>
      </c>
      <c r="P45">
        <f>F11/P44</f>
        <v>2.6675191815856776</v>
      </c>
      <c r="U45" s="1" t="s">
        <v>47</v>
      </c>
      <c r="V45" s="1">
        <f>SUM(V43:V44)</f>
        <v>20.874769212032639</v>
      </c>
      <c r="W45" s="1">
        <f t="shared" ref="W45:Y45" si="22">SUM(W43:W44)</f>
        <v>3.9061599317988067</v>
      </c>
      <c r="X45" s="1">
        <f t="shared" si="22"/>
        <v>4.2764772865668013</v>
      </c>
      <c r="Y45" s="1">
        <f t="shared" si="22"/>
        <v>12.606861527219584</v>
      </c>
    </row>
    <row r="46" spans="10:26" x14ac:dyDescent="0.25">
      <c r="K46" t="s">
        <v>41</v>
      </c>
      <c r="L46">
        <f>8/L39</f>
        <v>0.38095238095238093</v>
      </c>
      <c r="M46">
        <f t="shared" ref="M46:O46" si="23">8/M39</f>
        <v>8.3333333333333329E-2</v>
      </c>
      <c r="N46">
        <f t="shared" si="23"/>
        <v>5.7142857142857141E-2</v>
      </c>
      <c r="O46">
        <f t="shared" si="23"/>
        <v>0.22857142857142856</v>
      </c>
      <c r="U46" t="s">
        <v>46</v>
      </c>
      <c r="V46" s="3">
        <f>L53</f>
        <v>1.6163682864450124</v>
      </c>
      <c r="W46" s="3">
        <f t="shared" ref="W46:Y46" si="24">M53</f>
        <v>0.3535805626598465</v>
      </c>
      <c r="X46" s="3">
        <f t="shared" si="24"/>
        <v>0.24245524296675189</v>
      </c>
      <c r="Y46" s="3">
        <f t="shared" si="24"/>
        <v>0.96982097186700755</v>
      </c>
    </row>
    <row r="47" spans="10:26" x14ac:dyDescent="0.25">
      <c r="J47" s="1"/>
      <c r="K47" s="1" t="s">
        <v>44</v>
      </c>
      <c r="L47" s="1">
        <f>$P$45*L46</f>
        <v>1.0161977834612104</v>
      </c>
      <c r="M47" s="1">
        <f>$P$45*M46</f>
        <v>0.22229326513213979</v>
      </c>
      <c r="N47" s="1">
        <f>$P$45*N46</f>
        <v>0.15242966751918158</v>
      </c>
      <c r="O47" s="1">
        <f>$P$45*O46</f>
        <v>0.60971867007672631</v>
      </c>
      <c r="U47" s="1" t="s">
        <v>20</v>
      </c>
      <c r="V47" s="1">
        <f>V45+V46</f>
        <v>22.491137498477652</v>
      </c>
      <c r="W47" s="1">
        <f t="shared" ref="W47:Y47" si="25">W45+W46</f>
        <v>4.2597404944586534</v>
      </c>
      <c r="X47" s="1">
        <f t="shared" si="25"/>
        <v>4.5189325295335534</v>
      </c>
      <c r="Y47" s="1">
        <f t="shared" si="25"/>
        <v>13.576682499086591</v>
      </c>
    </row>
    <row r="49" spans="2:25" x14ac:dyDescent="0.25">
      <c r="U49" s="1"/>
    </row>
    <row r="50" spans="2:25" x14ac:dyDescent="0.25">
      <c r="K50" t="s">
        <v>42</v>
      </c>
      <c r="P50">
        <f>P44</f>
        <v>22342.857142857145</v>
      </c>
      <c r="U50" t="s">
        <v>94</v>
      </c>
      <c r="Y50">
        <f>Y47</f>
        <v>13.576682499086591</v>
      </c>
    </row>
    <row r="51" spans="2:25" x14ac:dyDescent="0.25">
      <c r="K51" t="s">
        <v>45</v>
      </c>
      <c r="P51">
        <f>G11/P50</f>
        <v>4.242966751918158</v>
      </c>
      <c r="U51" s="1" t="s">
        <v>92</v>
      </c>
      <c r="Y51">
        <f>Y50/(1-H15)</f>
        <v>17.626968045553852</v>
      </c>
    </row>
    <row r="52" spans="2:25" x14ac:dyDescent="0.25">
      <c r="K52" t="s">
        <v>41</v>
      </c>
      <c r="L52">
        <f>(8/L39)</f>
        <v>0.38095238095238093</v>
      </c>
      <c r="M52">
        <f t="shared" ref="M52:O52" si="26">(8/M39)</f>
        <v>8.3333333333333329E-2</v>
      </c>
      <c r="N52">
        <f t="shared" si="26"/>
        <v>5.7142857142857141E-2</v>
      </c>
      <c r="O52">
        <f t="shared" si="26"/>
        <v>0.22857142857142856</v>
      </c>
    </row>
    <row r="53" spans="2:25" x14ac:dyDescent="0.25">
      <c r="K53" s="1" t="s">
        <v>46</v>
      </c>
      <c r="L53" s="1">
        <f>$P$51*L52</f>
        <v>1.6163682864450124</v>
      </c>
      <c r="M53" s="1">
        <f>$P$51*M52</f>
        <v>0.3535805626598465</v>
      </c>
      <c r="N53" s="1">
        <f>$P$51*N52</f>
        <v>0.24245524296675189</v>
      </c>
      <c r="O53" s="1">
        <f>$P$51*O52</f>
        <v>0.96982097186700755</v>
      </c>
      <c r="U53" s="1"/>
    </row>
    <row r="54" spans="2:25" ht="59.25" customHeight="1" x14ac:dyDescent="0.25"/>
    <row r="55" spans="2:25" x14ac:dyDescent="0.25">
      <c r="L55" t="s">
        <v>17</v>
      </c>
      <c r="M55" t="s">
        <v>16</v>
      </c>
      <c r="N55" t="s">
        <v>15</v>
      </c>
      <c r="O55" t="s">
        <v>89</v>
      </c>
      <c r="P55" t="s">
        <v>12</v>
      </c>
      <c r="U55" s="1" t="s">
        <v>29</v>
      </c>
      <c r="V55" t="s">
        <v>17</v>
      </c>
      <c r="W55" t="s">
        <v>16</v>
      </c>
      <c r="X55" t="s">
        <v>15</v>
      </c>
      <c r="Y55" t="s">
        <v>89</v>
      </c>
    </row>
    <row r="56" spans="2:25" x14ac:dyDescent="0.25">
      <c r="K56" t="s">
        <v>40</v>
      </c>
      <c r="L56">
        <v>2000</v>
      </c>
      <c r="M56">
        <v>5000</v>
      </c>
      <c r="N56">
        <v>3000</v>
      </c>
      <c r="P56">
        <f>SUM(L56:O56)</f>
        <v>10000</v>
      </c>
    </row>
    <row r="57" spans="2:25" x14ac:dyDescent="0.25">
      <c r="U57" t="s">
        <v>30</v>
      </c>
      <c r="V57">
        <f>L58*L59</f>
        <v>8.1000000000000014</v>
      </c>
      <c r="W57">
        <f t="shared" ref="W57" si="27">M58*M59</f>
        <v>1.0640000000000001</v>
      </c>
      <c r="X57">
        <f t="shared" ref="X57" si="28">N58*N59</f>
        <v>1.0714285714285714</v>
      </c>
      <c r="Y57">
        <f t="shared" ref="Y57" si="29">O58*O59</f>
        <v>4.6500000000000004</v>
      </c>
    </row>
    <row r="58" spans="2:25" x14ac:dyDescent="0.25">
      <c r="K58" t="s">
        <v>21</v>
      </c>
      <c r="L58" s="4">
        <v>3</v>
      </c>
      <c r="M58" s="4">
        <v>1.1200000000000001</v>
      </c>
      <c r="N58" s="4">
        <v>1.1000000000000001</v>
      </c>
      <c r="O58" s="4">
        <v>1.5</v>
      </c>
      <c r="U58" t="s">
        <v>31</v>
      </c>
      <c r="X58">
        <f>1.15*1.1</f>
        <v>1.2649999999999999</v>
      </c>
    </row>
    <row r="59" spans="2:25" x14ac:dyDescent="0.25">
      <c r="K59" t="s">
        <v>22</v>
      </c>
      <c r="L59" s="4">
        <v>2.7</v>
      </c>
      <c r="M59" s="4">
        <v>0.95</v>
      </c>
      <c r="N59" s="5">
        <f>3.75/3.85</f>
        <v>0.97402597402597402</v>
      </c>
      <c r="O59" s="5">
        <v>3.1</v>
      </c>
      <c r="U59" t="s">
        <v>32</v>
      </c>
      <c r="V59">
        <v>0.25</v>
      </c>
      <c r="W59">
        <v>0.09</v>
      </c>
      <c r="Y59">
        <v>0.45</v>
      </c>
    </row>
    <row r="60" spans="2:25" x14ac:dyDescent="0.25">
      <c r="F60" s="1" t="s">
        <v>9</v>
      </c>
      <c r="G60" s="1" t="s">
        <v>10</v>
      </c>
      <c r="H60" s="1" t="s">
        <v>12</v>
      </c>
      <c r="K60" t="s">
        <v>23</v>
      </c>
      <c r="L60">
        <v>0.25</v>
      </c>
      <c r="M60">
        <v>0.09</v>
      </c>
      <c r="O60">
        <v>0.45</v>
      </c>
      <c r="U60" s="6" t="s">
        <v>33</v>
      </c>
      <c r="V60" s="1">
        <f>SUM(V57:V59)</f>
        <v>8.3500000000000014</v>
      </c>
      <c r="W60" s="1">
        <f>SUM(W57:W59)</f>
        <v>1.1540000000000001</v>
      </c>
      <c r="X60" s="1">
        <f>SUM(X57:X59)</f>
        <v>2.3364285714285713</v>
      </c>
      <c r="Y60" s="1">
        <f>SUM(Y57:Y59)</f>
        <v>5.1000000000000005</v>
      </c>
    </row>
    <row r="61" spans="2:25" x14ac:dyDescent="0.25">
      <c r="B61" t="s">
        <v>0</v>
      </c>
      <c r="C61" s="19">
        <v>1350000</v>
      </c>
      <c r="F61" s="19"/>
      <c r="G61" s="19"/>
      <c r="H61" s="19"/>
      <c r="K61" t="s">
        <v>25</v>
      </c>
      <c r="N61">
        <f>1.15*N58</f>
        <v>1.2649999999999999</v>
      </c>
    </row>
    <row r="62" spans="2:25" x14ac:dyDescent="0.25">
      <c r="B62" t="s">
        <v>1</v>
      </c>
      <c r="C62" s="19">
        <v>945000</v>
      </c>
      <c r="E62" s="2" t="s">
        <v>14</v>
      </c>
      <c r="F62" s="21">
        <f>945000-59600</f>
        <v>885400</v>
      </c>
      <c r="G62" s="21"/>
      <c r="H62" s="21">
        <f>SUM(F62:G62)</f>
        <v>885400</v>
      </c>
      <c r="K62" t="s">
        <v>24</v>
      </c>
      <c r="N62">
        <f>4000/N58</f>
        <v>3636.363636363636</v>
      </c>
      <c r="P62" s="8"/>
      <c r="U62" t="s">
        <v>34</v>
      </c>
      <c r="X62">
        <f>(8/N62)*20</f>
        <v>4.4000000000000004E-2</v>
      </c>
    </row>
    <row r="63" spans="2:25" x14ac:dyDescent="0.25">
      <c r="B63" t="s">
        <v>2</v>
      </c>
      <c r="C63" s="19">
        <f>C61-C62</f>
        <v>405000</v>
      </c>
      <c r="E63" t="s">
        <v>13</v>
      </c>
      <c r="F63" s="19">
        <v>2000</v>
      </c>
      <c r="G63" s="19"/>
      <c r="H63" s="19">
        <f>SUM(F63:G63)</f>
        <v>2000</v>
      </c>
      <c r="K63" t="s">
        <v>26</v>
      </c>
      <c r="L63">
        <f>4500/L58</f>
        <v>1500</v>
      </c>
      <c r="M63">
        <f>4500/M58</f>
        <v>4017.8571428571427</v>
      </c>
      <c r="N63">
        <f>4500/N58</f>
        <v>4090.9090909090905</v>
      </c>
      <c r="O63">
        <f>4500/O58</f>
        <v>3000</v>
      </c>
      <c r="P63" s="9"/>
      <c r="U63" t="s">
        <v>35</v>
      </c>
      <c r="V63">
        <f>(8/L63)*15</f>
        <v>0.08</v>
      </c>
      <c r="W63">
        <f>(8/M63)*15</f>
        <v>2.9866666666666666E-2</v>
      </c>
      <c r="X63">
        <f>(8/N63)*15</f>
        <v>2.9333333333333336E-2</v>
      </c>
      <c r="Y63">
        <f>(8/O63)*15</f>
        <v>0.04</v>
      </c>
    </row>
    <row r="64" spans="2:25" x14ac:dyDescent="0.25">
      <c r="C64" s="19"/>
      <c r="F64" s="19"/>
      <c r="G64" s="19"/>
      <c r="H64" s="19"/>
      <c r="K64" t="s">
        <v>27</v>
      </c>
      <c r="L64">
        <v>21</v>
      </c>
      <c r="M64">
        <v>96</v>
      </c>
      <c r="N64">
        <v>140</v>
      </c>
      <c r="O64">
        <v>35</v>
      </c>
      <c r="P64" s="8"/>
      <c r="U64" t="s">
        <v>36</v>
      </c>
      <c r="V64">
        <f>15*(L71)</f>
        <v>5.7142857142857135</v>
      </c>
      <c r="W64">
        <f t="shared" ref="W64" si="30">15*(M71)</f>
        <v>1.25</v>
      </c>
      <c r="X64">
        <f t="shared" ref="X64" si="31">15*(N71)</f>
        <v>0.8571428571428571</v>
      </c>
      <c r="Y64">
        <f t="shared" ref="Y64" si="32">15*(O71)</f>
        <v>3.4285714285714284</v>
      </c>
    </row>
    <row r="65" spans="2:26" x14ac:dyDescent="0.25">
      <c r="B65" t="s">
        <v>3</v>
      </c>
      <c r="C65" s="19">
        <v>11280</v>
      </c>
      <c r="E65" t="s">
        <v>3</v>
      </c>
      <c r="F65" s="19">
        <f>4700*0.8*12</f>
        <v>45120</v>
      </c>
      <c r="G65" s="19">
        <f>4700*0.2*12</f>
        <v>11280</v>
      </c>
      <c r="H65" s="19">
        <f>SUM(F65:G65)</f>
        <v>56400</v>
      </c>
      <c r="K65" t="s">
        <v>28</v>
      </c>
      <c r="L65">
        <f>L64</f>
        <v>21</v>
      </c>
      <c r="M65">
        <f t="shared" ref="M65:N65" si="33">M64</f>
        <v>96</v>
      </c>
      <c r="N65">
        <f t="shared" si="33"/>
        <v>140</v>
      </c>
      <c r="O65">
        <v>35</v>
      </c>
      <c r="P65" s="8"/>
      <c r="U65" t="s">
        <v>37</v>
      </c>
      <c r="V65">
        <f>(8/L65)*15</f>
        <v>5.7142857142857135</v>
      </c>
      <c r="W65">
        <f>(8/M65)*15</f>
        <v>1.25</v>
      </c>
      <c r="X65">
        <f>(8/N65)*15</f>
        <v>0.8571428571428571</v>
      </c>
      <c r="Y65">
        <f>(8/O65)*15</f>
        <v>3.4285714285714284</v>
      </c>
    </row>
    <row r="66" spans="2:26" x14ac:dyDescent="0.25">
      <c r="B66" t="s">
        <v>4</v>
      </c>
      <c r="C66" s="19">
        <v>3120</v>
      </c>
      <c r="E66" t="s">
        <v>11</v>
      </c>
      <c r="F66" s="19">
        <f>1300*0.8*12</f>
        <v>12480</v>
      </c>
      <c r="G66" s="19">
        <f>1300*0.2*12</f>
        <v>3120</v>
      </c>
      <c r="H66" s="19">
        <f>SUM(F66:G66)</f>
        <v>15600</v>
      </c>
      <c r="U66" s="6" t="s">
        <v>38</v>
      </c>
      <c r="V66" s="1">
        <f t="shared" ref="V66:Y66" si="34">SUM(V62:V65)</f>
        <v>11.508571428571427</v>
      </c>
      <c r="W66" s="1">
        <f t="shared" si="34"/>
        <v>2.5298666666666669</v>
      </c>
      <c r="X66" s="1">
        <f t="shared" si="34"/>
        <v>1.7876190476190477</v>
      </c>
      <c r="Y66" s="1">
        <f t="shared" si="34"/>
        <v>6.8971428571428568</v>
      </c>
    </row>
    <row r="67" spans="2:26" x14ac:dyDescent="0.25">
      <c r="B67" t="s">
        <v>5</v>
      </c>
      <c r="C67" s="19">
        <v>1800</v>
      </c>
      <c r="E67" t="s">
        <v>5</v>
      </c>
      <c r="F67" s="19"/>
      <c r="G67" s="19">
        <f>150*12</f>
        <v>1800</v>
      </c>
      <c r="H67" s="19">
        <f>SUM(F67:G67)</f>
        <v>1800</v>
      </c>
      <c r="K67" s="1" t="s">
        <v>39</v>
      </c>
    </row>
    <row r="68" spans="2:26" x14ac:dyDescent="0.25">
      <c r="B68" t="s">
        <v>6</v>
      </c>
      <c r="C68" s="19">
        <v>60000</v>
      </c>
      <c r="E68" t="s">
        <v>6</v>
      </c>
      <c r="F68" s="19"/>
      <c r="G68" s="19">
        <v>60000</v>
      </c>
      <c r="H68" s="19">
        <f>SUM(F68:G68)</f>
        <v>60000</v>
      </c>
      <c r="U68" s="1" t="s">
        <v>18</v>
      </c>
      <c r="V68">
        <f>V60+V66</f>
        <v>19.85857142857143</v>
      </c>
      <c r="W68">
        <f t="shared" ref="W68:Y68" si="35">W60+W66</f>
        <v>3.6838666666666668</v>
      </c>
      <c r="X68">
        <f t="shared" si="35"/>
        <v>4.1240476190476194</v>
      </c>
      <c r="Y68">
        <f t="shared" si="35"/>
        <v>11.997142857142858</v>
      </c>
      <c r="Z68">
        <f>Y68*28450</f>
        <v>341318.71428571432</v>
      </c>
    </row>
    <row r="69" spans="2:26" x14ac:dyDescent="0.25">
      <c r="B69" t="s">
        <v>7</v>
      </c>
      <c r="C69" s="19">
        <v>18600</v>
      </c>
      <c r="E69" t="s">
        <v>7</v>
      </c>
      <c r="F69" s="19"/>
      <c r="G69" s="19">
        <v>18600</v>
      </c>
      <c r="H69" s="19">
        <f>SUM(F69:G69)</f>
        <v>18600</v>
      </c>
      <c r="K69" t="s">
        <v>42</v>
      </c>
      <c r="P69">
        <f>(1320*12)+(((28450+4688)/35)*8)</f>
        <v>23414.400000000001</v>
      </c>
      <c r="Q69" t="s">
        <v>93</v>
      </c>
      <c r="U69" t="s">
        <v>44</v>
      </c>
      <c r="V69" s="3">
        <f>L72</f>
        <v>0.96969223660490567</v>
      </c>
      <c r="W69" s="3">
        <f t="shared" ref="W69" si="36">M72</f>
        <v>0.21212017675732311</v>
      </c>
      <c r="X69" s="3">
        <f t="shared" ref="X69" si="37">N72</f>
        <v>0.14545383549073584</v>
      </c>
      <c r="Y69" s="3">
        <f t="shared" ref="Y69" si="38">O72</f>
        <v>0.58181534196294338</v>
      </c>
    </row>
    <row r="70" spans="2:26" x14ac:dyDescent="0.25">
      <c r="C70" s="19"/>
      <c r="E70" s="1" t="s">
        <v>19</v>
      </c>
      <c r="F70" s="20">
        <f>SUM(F63:F69)</f>
        <v>59600</v>
      </c>
      <c r="G70" s="20">
        <f>SUM(G63:G69)</f>
        <v>94800</v>
      </c>
      <c r="H70" s="20">
        <f>SUM(H63:H69)</f>
        <v>154400</v>
      </c>
      <c r="K70" t="s">
        <v>43</v>
      </c>
      <c r="P70">
        <f>F11/P69</f>
        <v>2.5454421210878775</v>
      </c>
      <c r="U70" s="1" t="s">
        <v>47</v>
      </c>
      <c r="V70" s="1">
        <f>SUM(V68:V69)</f>
        <v>20.828263665176337</v>
      </c>
      <c r="W70" s="1">
        <f t="shared" ref="W70" si="39">SUM(W68:W69)</f>
        <v>3.8959868434239899</v>
      </c>
      <c r="X70" s="1">
        <f t="shared" ref="X70" si="40">SUM(X68:X69)</f>
        <v>4.2695014545383554</v>
      </c>
      <c r="Y70" s="1">
        <f t="shared" ref="Y70" si="41">SUM(Y68:Y69)</f>
        <v>12.578958199105802</v>
      </c>
    </row>
    <row r="71" spans="2:26" x14ac:dyDescent="0.25">
      <c r="C71" s="19"/>
      <c r="E71" s="1" t="s">
        <v>20</v>
      </c>
      <c r="F71" s="19"/>
      <c r="G71" s="19"/>
      <c r="H71" s="20">
        <f>H62+H70</f>
        <v>1039800</v>
      </c>
      <c r="K71" t="s">
        <v>41</v>
      </c>
      <c r="L71">
        <f>8/L64</f>
        <v>0.38095238095238093</v>
      </c>
      <c r="M71">
        <f t="shared" ref="M71:O71" si="42">8/M64</f>
        <v>8.3333333333333329E-2</v>
      </c>
      <c r="N71">
        <f t="shared" si="42"/>
        <v>5.7142857142857141E-2</v>
      </c>
      <c r="O71">
        <f t="shared" si="42"/>
        <v>0.22857142857142856</v>
      </c>
      <c r="U71" t="s">
        <v>46</v>
      </c>
      <c r="V71" s="3">
        <f>L78</f>
        <v>1.5423963763447155</v>
      </c>
      <c r="W71" s="3">
        <f t="shared" ref="W71" si="43">M78</f>
        <v>0.33739920732540651</v>
      </c>
      <c r="X71" s="3">
        <f t="shared" ref="X71" si="44">N78</f>
        <v>0.23135945645170733</v>
      </c>
      <c r="Y71" s="3">
        <f t="shared" ref="Y71" si="45">O78</f>
        <v>0.92543782580682932</v>
      </c>
    </row>
    <row r="72" spans="2:26" x14ac:dyDescent="0.25">
      <c r="B72" s="1" t="s">
        <v>8</v>
      </c>
      <c r="C72" s="20">
        <f>C63-SUM(C65:C69)</f>
        <v>310200</v>
      </c>
      <c r="E72" s="1" t="s">
        <v>8</v>
      </c>
      <c r="F72" s="19"/>
      <c r="G72" s="19"/>
      <c r="H72" s="20">
        <f>C61-H71</f>
        <v>310200</v>
      </c>
      <c r="K72" s="1" t="s">
        <v>44</v>
      </c>
      <c r="L72" s="1">
        <f>$P$70*L71</f>
        <v>0.96969223660490567</v>
      </c>
      <c r="M72" s="1">
        <f t="shared" ref="M72:O72" si="46">$P$70*M71</f>
        <v>0.21212017675732311</v>
      </c>
      <c r="N72" s="1">
        <f t="shared" si="46"/>
        <v>0.14545383549073584</v>
      </c>
      <c r="O72" s="1">
        <f t="shared" si="46"/>
        <v>0.58181534196294338</v>
      </c>
      <c r="U72" s="1" t="s">
        <v>20</v>
      </c>
      <c r="V72" s="1">
        <f>V70+V71</f>
        <v>22.370660041521052</v>
      </c>
      <c r="W72" s="1">
        <f t="shared" ref="W72" si="47">W70+W71</f>
        <v>4.2333860507493961</v>
      </c>
      <c r="X72" s="1">
        <f t="shared" ref="X72" si="48">X70+X71</f>
        <v>4.5008609109900624</v>
      </c>
      <c r="Y72" s="1">
        <f t="shared" ref="Y72" si="49">Y70+Y71</f>
        <v>13.504396024912632</v>
      </c>
    </row>
    <row r="73" spans="2:26" x14ac:dyDescent="0.25">
      <c r="C73" s="19"/>
    </row>
    <row r="74" spans="2:26" x14ac:dyDescent="0.25">
      <c r="C74" s="19"/>
      <c r="E74" s="1" t="s">
        <v>48</v>
      </c>
      <c r="H74" s="7">
        <f>H72/C61</f>
        <v>0.22977777777777778</v>
      </c>
      <c r="U74" s="1"/>
    </row>
    <row r="75" spans="2:26" x14ac:dyDescent="0.25">
      <c r="C75" s="19">
        <f>SUM(C65:C69)+C62</f>
        <v>1039800</v>
      </c>
      <c r="K75" t="s">
        <v>42</v>
      </c>
      <c r="P75">
        <f>P69</f>
        <v>23414.400000000001</v>
      </c>
      <c r="U75" t="s">
        <v>94</v>
      </c>
      <c r="Y75">
        <f>Y72</f>
        <v>13.504396024912632</v>
      </c>
    </row>
    <row r="76" spans="2:26" x14ac:dyDescent="0.25">
      <c r="K76" t="s">
        <v>45</v>
      </c>
      <c r="P76">
        <f>G11/P75</f>
        <v>4.0487904879048786</v>
      </c>
      <c r="U76" s="1" t="s">
        <v>92</v>
      </c>
      <c r="Y76">
        <f>Y75/(1-H15)</f>
        <v>17.533116593221823</v>
      </c>
    </row>
    <row r="77" spans="2:26" x14ac:dyDescent="0.25">
      <c r="K77" t="s">
        <v>41</v>
      </c>
      <c r="L77">
        <f>(8/L64)</f>
        <v>0.38095238095238093</v>
      </c>
      <c r="M77">
        <f t="shared" ref="M77:O77" si="50">(8/M64)</f>
        <v>8.3333333333333329E-2</v>
      </c>
      <c r="N77">
        <f t="shared" si="50"/>
        <v>5.7142857142857141E-2</v>
      </c>
      <c r="O77">
        <f t="shared" si="50"/>
        <v>0.22857142857142856</v>
      </c>
    </row>
    <row r="78" spans="2:26" x14ac:dyDescent="0.25">
      <c r="K78" s="1" t="s">
        <v>46</v>
      </c>
      <c r="L78" s="1">
        <f>$P$76*L77</f>
        <v>1.5423963763447155</v>
      </c>
      <c r="M78" s="1">
        <f t="shared" ref="M78:O78" si="51">$P$76*M77</f>
        <v>0.33739920732540651</v>
      </c>
      <c r="N78" s="1">
        <f t="shared" si="51"/>
        <v>0.23135945645170733</v>
      </c>
      <c r="O78" s="1">
        <f t="shared" si="51"/>
        <v>0.92543782580682932</v>
      </c>
      <c r="U78" s="1"/>
    </row>
    <row r="81" spans="2:25" x14ac:dyDescent="0.25">
      <c r="K81" s="22"/>
      <c r="L81" s="24" t="s">
        <v>98</v>
      </c>
      <c r="M81" s="22"/>
      <c r="N81" s="22" t="s">
        <v>99</v>
      </c>
      <c r="O81" s="22" t="s">
        <v>100</v>
      </c>
      <c r="P81" s="26" t="s">
        <v>101</v>
      </c>
      <c r="Q81" s="27"/>
    </row>
    <row r="82" spans="2:25" x14ac:dyDescent="0.25">
      <c r="K82" s="22" t="s">
        <v>95</v>
      </c>
      <c r="L82" s="22">
        <v>28450</v>
      </c>
      <c r="M82" s="28"/>
      <c r="N82" s="23">
        <f>Y47</f>
        <v>13.576682499086591</v>
      </c>
      <c r="O82" s="23">
        <f>N82/(1-$H$15)</f>
        <v>17.626968045553852</v>
      </c>
      <c r="P82" s="23">
        <f>Y43</f>
        <v>11.997142857142858</v>
      </c>
    </row>
    <row r="83" spans="2:25" x14ac:dyDescent="0.25">
      <c r="K83" s="22" t="s">
        <v>96</v>
      </c>
      <c r="L83" s="22">
        <f>28450+4688</f>
        <v>33138</v>
      </c>
      <c r="M83" s="28"/>
      <c r="N83" s="23">
        <f>Y72</f>
        <v>13.504396024912632</v>
      </c>
      <c r="O83" s="23">
        <f t="shared" ref="O83:O84" si="52">N83/(1-$H$15)</f>
        <v>17.533116593221823</v>
      </c>
      <c r="P83" s="23">
        <f>Y68</f>
        <v>11.997142857142858</v>
      </c>
    </row>
    <row r="84" spans="2:25" x14ac:dyDescent="0.25">
      <c r="K84" s="22" t="s">
        <v>97</v>
      </c>
      <c r="L84" s="22">
        <f>L82+9375</f>
        <v>37825</v>
      </c>
      <c r="M84" s="28"/>
      <c r="N84" s="23">
        <v>13.438449741623604</v>
      </c>
      <c r="O84" s="23">
        <f t="shared" si="52"/>
        <v>17.447496779372827</v>
      </c>
      <c r="P84" s="23">
        <f>Y68</f>
        <v>11.997142857142858</v>
      </c>
    </row>
    <row r="85" spans="2:25" x14ac:dyDescent="0.25">
      <c r="P85" s="25"/>
    </row>
    <row r="89" spans="2:25" x14ac:dyDescent="0.25">
      <c r="K89" t="s">
        <v>102</v>
      </c>
    </row>
    <row r="90" spans="2:25" x14ac:dyDescent="0.25">
      <c r="F90" s="1" t="s">
        <v>9</v>
      </c>
      <c r="G90" s="1" t="s">
        <v>10</v>
      </c>
      <c r="H90" s="1" t="s">
        <v>12</v>
      </c>
    </row>
    <row r="91" spans="2:25" x14ac:dyDescent="0.25">
      <c r="B91" t="s">
        <v>0</v>
      </c>
      <c r="C91" s="19">
        <v>1350000</v>
      </c>
      <c r="F91" s="19"/>
      <c r="G91" s="19"/>
      <c r="H91" s="19"/>
      <c r="L91" t="s">
        <v>17</v>
      </c>
      <c r="M91" t="s">
        <v>16</v>
      </c>
      <c r="N91" t="s">
        <v>15</v>
      </c>
      <c r="O91" t="s">
        <v>103</v>
      </c>
      <c r="U91" s="1" t="s">
        <v>29</v>
      </c>
      <c r="V91" t="s">
        <v>17</v>
      </c>
      <c r="W91" t="s">
        <v>16</v>
      </c>
      <c r="X91" t="s">
        <v>15</v>
      </c>
      <c r="Y91" t="s">
        <v>103</v>
      </c>
    </row>
    <row r="92" spans="2:25" x14ac:dyDescent="0.25">
      <c r="B92" t="s">
        <v>1</v>
      </c>
      <c r="C92" s="19">
        <v>945000</v>
      </c>
      <c r="E92" s="2" t="s">
        <v>14</v>
      </c>
      <c r="F92" s="21">
        <f>945000-59600</f>
        <v>885400</v>
      </c>
      <c r="G92" s="21"/>
      <c r="H92" s="21">
        <f>SUM(F92:G92)</f>
        <v>885400</v>
      </c>
      <c r="K92" t="s">
        <v>40</v>
      </c>
      <c r="L92">
        <v>2000</v>
      </c>
      <c r="M92">
        <v>5000</v>
      </c>
      <c r="N92">
        <v>3000</v>
      </c>
      <c r="O92">
        <v>2500</v>
      </c>
      <c r="Q92" t="s">
        <v>105</v>
      </c>
    </row>
    <row r="93" spans="2:25" x14ac:dyDescent="0.25">
      <c r="B93" t="s">
        <v>2</v>
      </c>
      <c r="C93" s="19">
        <f>C91-C92</f>
        <v>405000</v>
      </c>
      <c r="E93" t="s">
        <v>13</v>
      </c>
      <c r="F93" s="19">
        <v>2000</v>
      </c>
      <c r="G93" s="19"/>
      <c r="H93" s="19">
        <f>SUM(F93:G93)</f>
        <v>2000</v>
      </c>
      <c r="Q93" t="s">
        <v>106</v>
      </c>
      <c r="U93" t="s">
        <v>30</v>
      </c>
      <c r="V93">
        <f>L94*L95</f>
        <v>8.1000000000000014</v>
      </c>
      <c r="W93">
        <f t="shared" ref="W93:Y93" si="53">M94*M95</f>
        <v>1.0640000000000001</v>
      </c>
      <c r="X93">
        <f t="shared" si="53"/>
        <v>1.0714285714285714</v>
      </c>
      <c r="Y93">
        <f t="shared" si="53"/>
        <v>4.93</v>
      </c>
    </row>
    <row r="94" spans="2:25" x14ac:dyDescent="0.25">
      <c r="C94" s="19"/>
      <c r="F94" s="19"/>
      <c r="G94" s="19"/>
      <c r="H94" s="19"/>
      <c r="K94" t="s">
        <v>21</v>
      </c>
      <c r="L94" s="4">
        <v>3</v>
      </c>
      <c r="M94" s="4">
        <v>1.1200000000000001</v>
      </c>
      <c r="N94" s="4">
        <v>1.1000000000000001</v>
      </c>
      <c r="O94" s="4">
        <f>1.7</f>
        <v>1.7</v>
      </c>
      <c r="U94" t="s">
        <v>31</v>
      </c>
      <c r="X94">
        <f>1.15*1.1</f>
        <v>1.2649999999999999</v>
      </c>
    </row>
    <row r="95" spans="2:25" x14ac:dyDescent="0.25">
      <c r="B95" t="s">
        <v>3</v>
      </c>
      <c r="C95" s="19">
        <v>11280</v>
      </c>
      <c r="E95" t="s">
        <v>3</v>
      </c>
      <c r="F95" s="19">
        <f>4700*0.8*12</f>
        <v>45120</v>
      </c>
      <c r="G95" s="19">
        <f>4700*0.2*12</f>
        <v>11280</v>
      </c>
      <c r="H95" s="19">
        <f>SUM(F95:G95)</f>
        <v>56400</v>
      </c>
      <c r="K95" t="s">
        <v>22</v>
      </c>
      <c r="L95" s="4">
        <v>2.7</v>
      </c>
      <c r="M95" s="4">
        <v>0.95</v>
      </c>
      <c r="N95" s="5">
        <f>3.75/3.85</f>
        <v>0.97402597402597402</v>
      </c>
      <c r="O95" s="5">
        <v>2.9</v>
      </c>
      <c r="U95" t="s">
        <v>32</v>
      </c>
      <c r="V95">
        <v>0.25</v>
      </c>
      <c r="W95">
        <v>0.09</v>
      </c>
      <c r="Y95">
        <v>0.45</v>
      </c>
    </row>
    <row r="96" spans="2:25" x14ac:dyDescent="0.25">
      <c r="B96" t="s">
        <v>4</v>
      </c>
      <c r="C96" s="19">
        <v>3120</v>
      </c>
      <c r="E96" t="s">
        <v>11</v>
      </c>
      <c r="F96" s="19">
        <f>1300*0.8*12*1.3</f>
        <v>16224</v>
      </c>
      <c r="G96" s="19">
        <f>1300*0.2*12</f>
        <v>3120</v>
      </c>
      <c r="H96" s="19">
        <f>SUM(F96:G96)</f>
        <v>19344</v>
      </c>
      <c r="K96" t="s">
        <v>23</v>
      </c>
      <c r="L96">
        <v>0.25</v>
      </c>
      <c r="M96">
        <v>0.09</v>
      </c>
      <c r="O96">
        <v>0.45</v>
      </c>
      <c r="U96" s="6" t="s">
        <v>33</v>
      </c>
      <c r="V96" s="1">
        <f>SUM(V93:V95)</f>
        <v>8.3500000000000014</v>
      </c>
      <c r="W96" s="1">
        <f t="shared" ref="W96:Y96" si="54">SUM(W93:W95)</f>
        <v>1.1540000000000001</v>
      </c>
      <c r="X96" s="1">
        <f t="shared" si="54"/>
        <v>2.3364285714285713</v>
      </c>
      <c r="Y96" s="1">
        <f t="shared" si="54"/>
        <v>5.38</v>
      </c>
    </row>
    <row r="97" spans="2:25" x14ac:dyDescent="0.25">
      <c r="B97" t="s">
        <v>5</v>
      </c>
      <c r="C97" s="19">
        <v>1800</v>
      </c>
      <c r="E97" t="s">
        <v>5</v>
      </c>
      <c r="F97" s="19"/>
      <c r="G97" s="19">
        <f>150*12</f>
        <v>1800</v>
      </c>
      <c r="H97" s="19">
        <f>SUM(F97:G97)</f>
        <v>1800</v>
      </c>
      <c r="K97" t="s">
        <v>25</v>
      </c>
      <c r="N97">
        <f>1.15*N94</f>
        <v>1.2649999999999999</v>
      </c>
    </row>
    <row r="98" spans="2:25" x14ac:dyDescent="0.25">
      <c r="B98" t="s">
        <v>6</v>
      </c>
      <c r="C98" s="19">
        <v>60000</v>
      </c>
      <c r="E98" t="s">
        <v>6</v>
      </c>
      <c r="F98" s="19"/>
      <c r="G98" s="19">
        <f>60000+20000</f>
        <v>80000</v>
      </c>
      <c r="H98" s="19">
        <f>SUM(F98:G98)</f>
        <v>80000</v>
      </c>
      <c r="K98" t="s">
        <v>24</v>
      </c>
      <c r="N98">
        <f>4000/N94</f>
        <v>3636.363636363636</v>
      </c>
      <c r="P98" s="8"/>
      <c r="U98" t="s">
        <v>34</v>
      </c>
      <c r="X98">
        <f>(8/N98)*20</f>
        <v>4.4000000000000004E-2</v>
      </c>
    </row>
    <row r="99" spans="2:25" x14ac:dyDescent="0.25">
      <c r="B99" t="s">
        <v>7</v>
      </c>
      <c r="C99" s="19">
        <v>18600</v>
      </c>
      <c r="E99" t="s">
        <v>7</v>
      </c>
      <c r="F99" s="19"/>
      <c r="G99" s="19">
        <v>18600</v>
      </c>
      <c r="H99" s="19">
        <f>SUM(F99:G99)</f>
        <v>18600</v>
      </c>
      <c r="K99" t="s">
        <v>26</v>
      </c>
      <c r="L99" s="4">
        <f>4500/L94</f>
        <v>1500</v>
      </c>
      <c r="M99" s="4">
        <f t="shared" ref="M99:O99" si="55">4500/M94</f>
        <v>4017.8571428571427</v>
      </c>
      <c r="N99" s="4">
        <f t="shared" si="55"/>
        <v>4090.9090909090905</v>
      </c>
      <c r="O99" s="4">
        <f t="shared" si="55"/>
        <v>2647.0588235294117</v>
      </c>
      <c r="P99" s="9"/>
      <c r="U99" t="s">
        <v>35</v>
      </c>
      <c r="V99">
        <f>(8/L99)*15</f>
        <v>0.08</v>
      </c>
      <c r="W99">
        <f t="shared" ref="W99:Y99" si="56">(8/M99)*15</f>
        <v>2.9866666666666666E-2</v>
      </c>
      <c r="X99">
        <f t="shared" si="56"/>
        <v>2.9333333333333336E-2</v>
      </c>
      <c r="Y99">
        <f t="shared" si="56"/>
        <v>4.533333333333333E-2</v>
      </c>
    </row>
    <row r="100" spans="2:25" x14ac:dyDescent="0.25">
      <c r="C100" s="19"/>
      <c r="E100" s="1" t="s">
        <v>19</v>
      </c>
      <c r="F100" s="20">
        <f>SUM(F93:F99)</f>
        <v>63344</v>
      </c>
      <c r="G100" s="20">
        <f>SUM(G93:G99)</f>
        <v>114800</v>
      </c>
      <c r="H100" s="20">
        <f>SUM(H93:H99)</f>
        <v>178144</v>
      </c>
      <c r="K100" t="s">
        <v>27</v>
      </c>
      <c r="L100">
        <v>21</v>
      </c>
      <c r="M100">
        <v>96</v>
      </c>
      <c r="N100">
        <v>140</v>
      </c>
      <c r="O100">
        <v>35</v>
      </c>
      <c r="P100" s="8"/>
      <c r="U100" t="s">
        <v>36</v>
      </c>
      <c r="V100">
        <f>15*(L107)</f>
        <v>5.7142857142857135</v>
      </c>
      <c r="W100">
        <f t="shared" ref="W100:Y100" si="57">15*(M107)</f>
        <v>1.25</v>
      </c>
      <c r="X100">
        <f t="shared" si="57"/>
        <v>0.8571428571428571</v>
      </c>
      <c r="Y100">
        <f t="shared" si="57"/>
        <v>3.4285714285714284</v>
      </c>
    </row>
    <row r="101" spans="2:25" x14ac:dyDescent="0.25">
      <c r="C101" s="19"/>
      <c r="E101" s="1" t="s">
        <v>20</v>
      </c>
      <c r="F101" s="19"/>
      <c r="G101" s="19"/>
      <c r="H101" s="20">
        <f>H92+H100</f>
        <v>1063544</v>
      </c>
      <c r="K101" t="s">
        <v>28</v>
      </c>
      <c r="L101">
        <f>L100</f>
        <v>21</v>
      </c>
      <c r="M101">
        <f t="shared" ref="M101:N101" si="58">M100</f>
        <v>96</v>
      </c>
      <c r="N101">
        <f t="shared" si="58"/>
        <v>140</v>
      </c>
      <c r="O101">
        <f>O100</f>
        <v>35</v>
      </c>
      <c r="P101" s="8"/>
      <c r="U101" t="s">
        <v>37</v>
      </c>
      <c r="V101">
        <f>(8/L101)*15</f>
        <v>5.7142857142857135</v>
      </c>
      <c r="W101">
        <f t="shared" ref="W101:Y101" si="59">(8/M101)*15</f>
        <v>1.25</v>
      </c>
      <c r="X101">
        <f t="shared" si="59"/>
        <v>0.8571428571428571</v>
      </c>
      <c r="Y101">
        <f t="shared" si="59"/>
        <v>3.4285714285714284</v>
      </c>
    </row>
    <row r="102" spans="2:25" x14ac:dyDescent="0.25">
      <c r="B102" s="1" t="s">
        <v>8</v>
      </c>
      <c r="C102" s="20">
        <f>C93-SUM(C95:C99)</f>
        <v>310200</v>
      </c>
      <c r="E102" s="1"/>
      <c r="F102" s="19"/>
      <c r="G102" s="19"/>
      <c r="H102" s="20"/>
      <c r="U102" s="6" t="s">
        <v>38</v>
      </c>
      <c r="V102" s="1">
        <f t="shared" ref="V102:Y102" si="60">SUM(V98:V101)</f>
        <v>11.508571428571427</v>
      </c>
      <c r="W102" s="1">
        <f t="shared" si="60"/>
        <v>2.5298666666666669</v>
      </c>
      <c r="X102" s="1">
        <f t="shared" si="60"/>
        <v>1.7876190476190477</v>
      </c>
      <c r="Y102" s="1">
        <f t="shared" si="60"/>
        <v>6.9024761904761895</v>
      </c>
    </row>
    <row r="103" spans="2:25" x14ac:dyDescent="0.25">
      <c r="C103" s="19"/>
      <c r="K103" s="1" t="s">
        <v>39</v>
      </c>
    </row>
    <row r="104" spans="2:25" x14ac:dyDescent="0.25">
      <c r="C104" s="19"/>
      <c r="E104" s="1"/>
      <c r="H104" s="7"/>
      <c r="U104" s="1" t="s">
        <v>18</v>
      </c>
      <c r="V104">
        <f>V96+V102</f>
        <v>19.85857142857143</v>
      </c>
      <c r="W104">
        <f t="shared" ref="W104:Y104" si="61">W96+W102</f>
        <v>3.6838666666666668</v>
      </c>
      <c r="X104">
        <f t="shared" si="61"/>
        <v>4.1240476190476194</v>
      </c>
      <c r="Y104">
        <f t="shared" si="61"/>
        <v>12.282476190476189</v>
      </c>
    </row>
    <row r="105" spans="2:25" x14ac:dyDescent="0.25">
      <c r="C105" s="19">
        <f>SUM(C95:C99)+C92</f>
        <v>1039800</v>
      </c>
      <c r="K105" t="s">
        <v>42</v>
      </c>
      <c r="P105">
        <f>(1320*12)+(O92*5*8/35)</f>
        <v>18697.142857142859</v>
      </c>
      <c r="U105" t="s">
        <v>44</v>
      </c>
      <c r="V105" s="3">
        <f>L108</f>
        <v>1.2906275468622654</v>
      </c>
      <c r="W105" s="3">
        <f t="shared" ref="W105" si="62">M108</f>
        <v>0.28232477587612059</v>
      </c>
      <c r="X105" s="3">
        <f t="shared" ref="X105" si="63">N108</f>
        <v>0.19359413202933984</v>
      </c>
      <c r="Y105" s="3">
        <f t="shared" ref="Y105" si="64">O108</f>
        <v>0.77437652811735935</v>
      </c>
    </row>
    <row r="106" spans="2:25" x14ac:dyDescent="0.25">
      <c r="K106" t="s">
        <v>43</v>
      </c>
      <c r="P106" s="29">
        <f>F100/P105</f>
        <v>3.3878973105134471</v>
      </c>
      <c r="U106" s="1" t="s">
        <v>47</v>
      </c>
      <c r="V106" s="1">
        <f>SUM(V104:V105)</f>
        <v>21.149198975433695</v>
      </c>
      <c r="W106" s="1">
        <f t="shared" ref="W106:Y106" si="65">SUM(W104:W105)</f>
        <v>3.9661914425427875</v>
      </c>
      <c r="X106" s="1">
        <f t="shared" si="65"/>
        <v>4.3176417510769589</v>
      </c>
      <c r="Y106" s="1">
        <f t="shared" si="65"/>
        <v>13.056852718593548</v>
      </c>
    </row>
    <row r="107" spans="2:25" x14ac:dyDescent="0.25">
      <c r="K107" t="s">
        <v>41</v>
      </c>
      <c r="L107">
        <f>8/L100</f>
        <v>0.38095238095238093</v>
      </c>
      <c r="M107">
        <f t="shared" ref="M107:O107" si="66">8/M100</f>
        <v>8.3333333333333329E-2</v>
      </c>
      <c r="N107">
        <f t="shared" si="66"/>
        <v>5.7142857142857141E-2</v>
      </c>
      <c r="O107">
        <f t="shared" si="66"/>
        <v>0.22857142857142856</v>
      </c>
      <c r="U107" t="s">
        <v>46</v>
      </c>
      <c r="V107" s="3">
        <f>L114</f>
        <v>2.3390383048084757</v>
      </c>
      <c r="W107" s="3">
        <f t="shared" ref="W107" si="67">M114</f>
        <v>0.51166462917685407</v>
      </c>
      <c r="X107" s="3">
        <f t="shared" ref="X107" si="68">N114</f>
        <v>0.35085574572127137</v>
      </c>
      <c r="Y107" s="3">
        <f t="shared" ref="Y107" si="69">O114</f>
        <v>1.4034229828850855</v>
      </c>
    </row>
    <row r="108" spans="2:25" x14ac:dyDescent="0.25">
      <c r="K108" s="1" t="s">
        <v>44</v>
      </c>
      <c r="L108" s="30">
        <f>L107*$P$106</f>
        <v>1.2906275468622654</v>
      </c>
      <c r="M108" s="30">
        <f t="shared" ref="M108:O108" si="70">M107*$P$106</f>
        <v>0.28232477587612059</v>
      </c>
      <c r="N108" s="30">
        <f t="shared" si="70"/>
        <v>0.19359413202933984</v>
      </c>
      <c r="O108" s="30">
        <f t="shared" si="70"/>
        <v>0.77437652811735935</v>
      </c>
      <c r="U108" s="1" t="s">
        <v>20</v>
      </c>
      <c r="V108" s="1">
        <f>V106+V107</f>
        <v>23.488237280242171</v>
      </c>
      <c r="W108" s="1">
        <f t="shared" ref="W108:Y108" si="71">W106+W107</f>
        <v>4.4778560717196418</v>
      </c>
      <c r="X108" s="1">
        <f t="shared" si="71"/>
        <v>4.6684974967982305</v>
      </c>
      <c r="Y108" s="1">
        <f t="shared" si="71"/>
        <v>14.460275701478635</v>
      </c>
    </row>
    <row r="110" spans="2:25" x14ac:dyDescent="0.25">
      <c r="U110" s="1"/>
    </row>
    <row r="111" spans="2:25" x14ac:dyDescent="0.25">
      <c r="K111" t="s">
        <v>42</v>
      </c>
      <c r="P111">
        <f>P105</f>
        <v>18697.142857142859</v>
      </c>
      <c r="U111" t="s">
        <v>94</v>
      </c>
      <c r="Y111">
        <f>Y108</f>
        <v>14.460275701478635</v>
      </c>
    </row>
    <row r="112" spans="2:25" x14ac:dyDescent="0.25">
      <c r="K112" t="s">
        <v>45</v>
      </c>
      <c r="P112" s="29">
        <f>G100/P111</f>
        <v>6.1399755501222488</v>
      </c>
      <c r="U112" s="1" t="s">
        <v>92</v>
      </c>
      <c r="Y112" s="29">
        <f>Y111/(1-H15)</f>
        <v>18.774160604920326</v>
      </c>
    </row>
    <row r="113" spans="11:21" x14ac:dyDescent="0.25">
      <c r="K113" t="s">
        <v>41</v>
      </c>
      <c r="L113">
        <f>(8/L100)</f>
        <v>0.38095238095238093</v>
      </c>
      <c r="M113">
        <f t="shared" ref="M113:O113" si="72">(8/M100)</f>
        <v>8.3333333333333329E-2</v>
      </c>
      <c r="N113">
        <f t="shared" si="72"/>
        <v>5.7142857142857141E-2</v>
      </c>
      <c r="O113">
        <f t="shared" si="72"/>
        <v>0.22857142857142856</v>
      </c>
    </row>
    <row r="114" spans="11:21" x14ac:dyDescent="0.25">
      <c r="K114" s="1" t="s">
        <v>46</v>
      </c>
      <c r="L114" s="30">
        <f>L113*$P$112</f>
        <v>2.3390383048084757</v>
      </c>
      <c r="M114" s="30">
        <f t="shared" ref="M114:O114" si="73">M113*$P$112</f>
        <v>0.51166462917685407</v>
      </c>
      <c r="N114" s="30">
        <f t="shared" si="73"/>
        <v>0.35085574572127137</v>
      </c>
      <c r="O114" s="30">
        <f t="shared" si="73"/>
        <v>1.4034229828850855</v>
      </c>
      <c r="U114" s="1"/>
    </row>
    <row r="119" spans="11:21" x14ac:dyDescent="0.25">
      <c r="K119" s="22"/>
      <c r="L119" s="22" t="s">
        <v>107</v>
      </c>
      <c r="M119" s="22" t="s">
        <v>20</v>
      </c>
      <c r="N119" s="22" t="s">
        <v>112</v>
      </c>
      <c r="O119" s="22" t="s">
        <v>110</v>
      </c>
      <c r="P119" s="22"/>
      <c r="Q119" s="22" t="s">
        <v>111</v>
      </c>
      <c r="R119" s="22"/>
    </row>
    <row r="120" spans="11:21" x14ac:dyDescent="0.25">
      <c r="K120" s="22" t="s">
        <v>108</v>
      </c>
      <c r="L120" s="22">
        <f>2500*5</f>
        <v>12500</v>
      </c>
      <c r="M120" s="28">
        <f>Y111</f>
        <v>14.460275701478635</v>
      </c>
      <c r="N120" s="23">
        <f>Y104</f>
        <v>12.282476190476189</v>
      </c>
      <c r="O120" s="23">
        <f>Y112</f>
        <v>18.774160604920326</v>
      </c>
      <c r="P120" s="23"/>
      <c r="Q120" s="32">
        <f>O120*L120</f>
        <v>234677.00756150408</v>
      </c>
      <c r="R120" s="32"/>
    </row>
    <row r="121" spans="11:21" x14ac:dyDescent="0.25">
      <c r="M121" s="25"/>
      <c r="N121" s="33"/>
      <c r="O121" s="33"/>
      <c r="P121" s="33"/>
    </row>
    <row r="122" spans="11:21" x14ac:dyDescent="0.25">
      <c r="K122" t="s">
        <v>109</v>
      </c>
      <c r="L122" s="29">
        <f>(N120*L120)+(F66*0.3)+20000</f>
        <v>177274.95238095237</v>
      </c>
      <c r="M122" s="25">
        <f>L122/L120</f>
        <v>14.181996190476189</v>
      </c>
      <c r="N122" s="33" t="s">
        <v>114</v>
      </c>
      <c r="O122" s="33"/>
      <c r="P122" s="33"/>
    </row>
    <row r="123" spans="11:21" x14ac:dyDescent="0.25">
      <c r="K123" t="s">
        <v>113</v>
      </c>
      <c r="L123" s="29">
        <f>O120*L120</f>
        <v>234677.00756150408</v>
      </c>
      <c r="M123" s="25">
        <f>O120</f>
        <v>18.774160604920326</v>
      </c>
    </row>
  </sheetData>
  <pageMargins left="0.7" right="0.7" top="0.75" bottom="0.75" header="0.3" footer="0.3"/>
  <pageSetup orientation="portrait" r:id="rId1"/>
  <ignoredErrors>
    <ignoredError sqref="R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E93F-1254-4D87-83A1-3CED99FF8B17}">
  <dimension ref="A2:Y112"/>
  <sheetViews>
    <sheetView tabSelected="1" topLeftCell="G79" zoomScale="88" workbookViewId="0">
      <selection activeCell="X94" sqref="X94"/>
    </sheetView>
  </sheetViews>
  <sheetFormatPr defaultRowHeight="15" x14ac:dyDescent="0.25"/>
  <cols>
    <col min="2" max="2" width="14.7109375" bestFit="1" customWidth="1"/>
    <col min="3" max="3" width="15.85546875" bestFit="1" customWidth="1"/>
    <col min="4" max="4" width="17.42578125" bestFit="1" customWidth="1"/>
    <col min="5" max="5" width="19.28515625" bestFit="1" customWidth="1"/>
    <col min="7" max="7" width="33" bestFit="1" customWidth="1"/>
    <col min="8" max="10" width="12.140625" bestFit="1" customWidth="1"/>
    <col min="11" max="11" width="12" customWidth="1"/>
    <col min="12" max="12" width="11.7109375" bestFit="1" customWidth="1"/>
    <col min="13" max="13" width="11.7109375" customWidth="1"/>
    <col min="14" max="14" width="15.140625" customWidth="1"/>
    <col min="15" max="15" width="24.28515625" bestFit="1" customWidth="1"/>
    <col min="16" max="18" width="12" bestFit="1" customWidth="1"/>
    <col min="19" max="19" width="14" customWidth="1"/>
    <col min="20" max="20" width="12.140625" bestFit="1" customWidth="1"/>
    <col min="23" max="23" width="26.7109375" bestFit="1" customWidth="1"/>
    <col min="24" max="24" width="15.7109375" bestFit="1" customWidth="1"/>
    <col min="25" max="25" width="24.28515625" bestFit="1" customWidth="1"/>
  </cols>
  <sheetData>
    <row r="2" spans="2:18" x14ac:dyDescent="0.25">
      <c r="C2" s="1" t="s">
        <v>9</v>
      </c>
      <c r="D2" s="1" t="s">
        <v>10</v>
      </c>
      <c r="E2" s="1" t="s">
        <v>12</v>
      </c>
      <c r="H2" t="s">
        <v>17</v>
      </c>
      <c r="I2" t="s">
        <v>16</v>
      </c>
      <c r="J2" t="s">
        <v>15</v>
      </c>
      <c r="K2" t="s">
        <v>12</v>
      </c>
      <c r="O2" s="1" t="s">
        <v>29</v>
      </c>
      <c r="P2" t="s">
        <v>17</v>
      </c>
      <c r="Q2" t="s">
        <v>16</v>
      </c>
      <c r="R2" t="s">
        <v>15</v>
      </c>
    </row>
    <row r="3" spans="2:18" x14ac:dyDescent="0.25">
      <c r="G3" t="s">
        <v>40</v>
      </c>
      <c r="H3">
        <v>2000</v>
      </c>
      <c r="I3">
        <v>5000</v>
      </c>
      <c r="J3">
        <v>3000</v>
      </c>
      <c r="K3">
        <f>SUM(H3:J3)</f>
        <v>10000</v>
      </c>
    </row>
    <row r="4" spans="2:18" x14ac:dyDescent="0.25">
      <c r="B4" s="2" t="s">
        <v>14</v>
      </c>
      <c r="C4" s="21">
        <f>945000-59600</f>
        <v>885400</v>
      </c>
      <c r="D4" s="21"/>
      <c r="E4" s="21">
        <f t="shared" ref="E4:E5" si="0">SUM(C4:D4)</f>
        <v>885400</v>
      </c>
      <c r="O4" t="s">
        <v>30</v>
      </c>
      <c r="P4" s="4">
        <f>H5*H6</f>
        <v>8.1000000000000014</v>
      </c>
      <c r="Q4" s="4">
        <f>I5*I6</f>
        <v>1.0640000000000001</v>
      </c>
      <c r="R4" s="4">
        <f>J5*J6</f>
        <v>1.0714285714285714</v>
      </c>
    </row>
    <row r="5" spans="2:18" x14ac:dyDescent="0.25">
      <c r="B5" t="s">
        <v>13</v>
      </c>
      <c r="C5" s="19">
        <v>2000</v>
      </c>
      <c r="D5" s="19"/>
      <c r="E5" s="19">
        <f t="shared" si="0"/>
        <v>2000</v>
      </c>
      <c r="G5" t="s">
        <v>21</v>
      </c>
      <c r="H5" s="4">
        <v>3</v>
      </c>
      <c r="I5" s="4">
        <v>1.1200000000000001</v>
      </c>
      <c r="J5" s="4">
        <v>1.1000000000000001</v>
      </c>
      <c r="O5" t="s">
        <v>31</v>
      </c>
      <c r="P5" s="4"/>
      <c r="Q5" s="4"/>
      <c r="R5" s="4">
        <f>1.15*1.1</f>
        <v>1.2649999999999999</v>
      </c>
    </row>
    <row r="6" spans="2:18" x14ac:dyDescent="0.25">
      <c r="C6" s="19"/>
      <c r="D6" s="19"/>
      <c r="E6" s="19"/>
      <c r="G6" t="s">
        <v>22</v>
      </c>
      <c r="H6" s="4">
        <v>2.7</v>
      </c>
      <c r="I6" s="4">
        <v>0.95</v>
      </c>
      <c r="J6" s="5">
        <f>3.75/3.85</f>
        <v>0.97402597402597402</v>
      </c>
      <c r="O6" t="s">
        <v>32</v>
      </c>
      <c r="P6" s="4">
        <v>0.25</v>
      </c>
      <c r="Q6" s="4">
        <v>0.09</v>
      </c>
      <c r="R6" s="4"/>
    </row>
    <row r="7" spans="2:18" x14ac:dyDescent="0.25">
      <c r="B7" t="s">
        <v>3</v>
      </c>
      <c r="C7" s="19">
        <f>4700*0.8*12</f>
        <v>45120</v>
      </c>
      <c r="D7" s="19">
        <f>4700*0.2*12</f>
        <v>11280</v>
      </c>
      <c r="E7" s="19">
        <f>SUM(C7:D7)</f>
        <v>56400</v>
      </c>
      <c r="G7" t="s">
        <v>23</v>
      </c>
      <c r="H7">
        <v>0.25</v>
      </c>
      <c r="I7">
        <v>0.09</v>
      </c>
      <c r="O7" s="6" t="s">
        <v>33</v>
      </c>
      <c r="P7" s="34">
        <f>SUM(P4:P6)</f>
        <v>8.3500000000000014</v>
      </c>
      <c r="Q7" s="34">
        <f>SUM(Q4:Q6)</f>
        <v>1.1540000000000001</v>
      </c>
      <c r="R7" s="34">
        <f>SUM(R4:R6)</f>
        <v>2.3364285714285713</v>
      </c>
    </row>
    <row r="8" spans="2:18" x14ac:dyDescent="0.25">
      <c r="B8" t="s">
        <v>11</v>
      </c>
      <c r="C8" s="19">
        <f>1300*0.8*12</f>
        <v>12480</v>
      </c>
      <c r="D8" s="19">
        <f>1300*0.2*12</f>
        <v>3120</v>
      </c>
      <c r="E8" s="19">
        <f>SUM(C8:D8)</f>
        <v>15600</v>
      </c>
      <c r="G8" t="s">
        <v>25</v>
      </c>
      <c r="J8">
        <f>1.15*J5</f>
        <v>1.2649999999999999</v>
      </c>
      <c r="P8" s="4"/>
      <c r="Q8" s="4"/>
      <c r="R8" s="4"/>
    </row>
    <row r="9" spans="2:18" x14ac:dyDescent="0.25">
      <c r="B9" t="s">
        <v>5</v>
      </c>
      <c r="C9" s="19"/>
      <c r="D9" s="19">
        <f>150*12</f>
        <v>1800</v>
      </c>
      <c r="E9" s="19">
        <f>SUM(C9:D9)</f>
        <v>1800</v>
      </c>
      <c r="G9" t="s">
        <v>24</v>
      </c>
      <c r="J9">
        <f>4000/J5</f>
        <v>3636.363636363636</v>
      </c>
      <c r="K9" s="8"/>
      <c r="O9" t="s">
        <v>34</v>
      </c>
      <c r="P9" s="4"/>
      <c r="Q9" s="4"/>
      <c r="R9" s="4">
        <f>(8/J9)*20</f>
        <v>4.4000000000000004E-2</v>
      </c>
    </row>
    <row r="10" spans="2:18" x14ac:dyDescent="0.25">
      <c r="B10" t="s">
        <v>6</v>
      </c>
      <c r="C10" s="19"/>
      <c r="D10" s="19">
        <v>60000</v>
      </c>
      <c r="E10" s="19">
        <f>SUM(C10:D10)</f>
        <v>60000</v>
      </c>
      <c r="G10" t="s">
        <v>26</v>
      </c>
      <c r="H10">
        <f>4500/H5</f>
        <v>1500</v>
      </c>
      <c r="I10">
        <f t="shared" ref="I10:J10" si="1">4500/I5</f>
        <v>4017.8571428571427</v>
      </c>
      <c r="J10">
        <f t="shared" si="1"/>
        <v>4090.9090909090905</v>
      </c>
      <c r="K10" s="9"/>
      <c r="O10" t="s">
        <v>35</v>
      </c>
      <c r="P10" s="4">
        <f>(8/H10)*15</f>
        <v>0.08</v>
      </c>
      <c r="Q10" s="4">
        <f>(8/I10)*15</f>
        <v>2.9866666666666666E-2</v>
      </c>
      <c r="R10" s="4">
        <f>(8/J10)*15</f>
        <v>2.9333333333333336E-2</v>
      </c>
    </row>
    <row r="11" spans="2:18" x14ac:dyDescent="0.25">
      <c r="B11" t="s">
        <v>7</v>
      </c>
      <c r="C11" s="19"/>
      <c r="D11" s="19">
        <v>18600</v>
      </c>
      <c r="E11" s="19">
        <f>SUM(C11:D11)</f>
        <v>18600</v>
      </c>
      <c r="G11" t="s">
        <v>27</v>
      </c>
      <c r="H11">
        <v>21</v>
      </c>
      <c r="I11">
        <v>96</v>
      </c>
      <c r="J11">
        <v>140</v>
      </c>
      <c r="K11" s="8"/>
      <c r="O11" t="s">
        <v>36</v>
      </c>
      <c r="P11" s="4">
        <f>15*(8/H11)</f>
        <v>5.7142857142857135</v>
      </c>
      <c r="Q11" s="4">
        <f>15*(8/I11)</f>
        <v>1.25</v>
      </c>
      <c r="R11" s="4">
        <f>15*(8/J11)</f>
        <v>0.8571428571428571</v>
      </c>
    </row>
    <row r="12" spans="2:18" x14ac:dyDescent="0.25">
      <c r="B12" s="1" t="s">
        <v>19</v>
      </c>
      <c r="C12" s="20">
        <f>SUM(C5:C11)</f>
        <v>59600</v>
      </c>
      <c r="D12" s="20">
        <f>SUM(D5:D11)</f>
        <v>94800</v>
      </c>
      <c r="E12" s="20">
        <f>SUM(E5:E11)</f>
        <v>154400</v>
      </c>
      <c r="G12" t="s">
        <v>28</v>
      </c>
      <c r="H12">
        <f>H11</f>
        <v>21</v>
      </c>
      <c r="I12">
        <f t="shared" ref="I12:J12" si="2">I11</f>
        <v>96</v>
      </c>
      <c r="J12">
        <f t="shared" si="2"/>
        <v>140</v>
      </c>
      <c r="K12" s="8"/>
      <c r="O12" t="s">
        <v>37</v>
      </c>
      <c r="P12" s="4">
        <f>(8/H12)*15</f>
        <v>5.7142857142857135</v>
      </c>
      <c r="Q12" s="4">
        <f>(8/I12)*15</f>
        <v>1.25</v>
      </c>
      <c r="R12" s="4">
        <f>(8/J12)*15</f>
        <v>0.8571428571428571</v>
      </c>
    </row>
    <row r="13" spans="2:18" x14ac:dyDescent="0.25">
      <c r="B13" s="1" t="s">
        <v>20</v>
      </c>
      <c r="C13" s="19"/>
      <c r="D13" s="19"/>
      <c r="E13" s="20">
        <f>E4+E12</f>
        <v>1039800</v>
      </c>
      <c r="O13" s="6" t="s">
        <v>38</v>
      </c>
      <c r="P13" s="34">
        <f t="shared" ref="P13:R13" si="3">SUM(P9:P12)</f>
        <v>11.508571428571427</v>
      </c>
      <c r="Q13" s="34">
        <f t="shared" si="3"/>
        <v>2.5298666666666669</v>
      </c>
      <c r="R13" s="34">
        <f t="shared" si="3"/>
        <v>1.7876190476190477</v>
      </c>
    </row>
    <row r="14" spans="2:18" x14ac:dyDescent="0.25">
      <c r="B14" s="1"/>
      <c r="C14" s="19"/>
      <c r="D14" s="19"/>
      <c r="E14" s="20"/>
      <c r="G14" s="1" t="s">
        <v>39</v>
      </c>
      <c r="P14" s="4"/>
      <c r="Q14" s="4"/>
      <c r="R14" s="4"/>
    </row>
    <row r="15" spans="2:18" x14ac:dyDescent="0.25">
      <c r="C15" s="19"/>
      <c r="D15" s="19"/>
      <c r="E15" s="19"/>
      <c r="O15" s="1" t="s">
        <v>18</v>
      </c>
      <c r="P15" s="4">
        <f>P7+P13</f>
        <v>19.85857142857143</v>
      </c>
      <c r="Q15" s="4">
        <f t="shared" ref="Q15:R15" si="4">Q7+Q13</f>
        <v>3.6838666666666668</v>
      </c>
      <c r="R15" s="4">
        <f t="shared" si="4"/>
        <v>4.1240476190476194</v>
      </c>
    </row>
    <row r="16" spans="2:18" x14ac:dyDescent="0.25">
      <c r="B16" s="1"/>
      <c r="C16" s="19"/>
      <c r="D16" s="19"/>
      <c r="E16" s="31"/>
      <c r="G16" t="s">
        <v>42</v>
      </c>
      <c r="K16">
        <f>1320*12</f>
        <v>15840</v>
      </c>
      <c r="O16" t="s">
        <v>44</v>
      </c>
      <c r="P16" s="35">
        <f>H19</f>
        <v>1.4333814333814332</v>
      </c>
      <c r="Q16" s="35">
        <f>I19</f>
        <v>0.31355218855218853</v>
      </c>
      <c r="R16" s="35">
        <f>J19</f>
        <v>0.21500721500721501</v>
      </c>
    </row>
    <row r="17" spans="7:24" x14ac:dyDescent="0.25">
      <c r="G17" t="s">
        <v>43</v>
      </c>
      <c r="K17" s="29">
        <f>C12/K16</f>
        <v>3.7626262626262625</v>
      </c>
      <c r="O17" s="1" t="s">
        <v>47</v>
      </c>
      <c r="P17" s="34">
        <f>SUM(P15:P16)</f>
        <v>21.291952861952865</v>
      </c>
      <c r="Q17" s="34">
        <f t="shared" ref="Q17:R17" si="5">SUM(Q15:Q16)</f>
        <v>3.9974188552188554</v>
      </c>
      <c r="R17" s="34">
        <f t="shared" si="5"/>
        <v>4.3390548340548341</v>
      </c>
    </row>
    <row r="18" spans="7:24" x14ac:dyDescent="0.25">
      <c r="G18" t="s">
        <v>41</v>
      </c>
      <c r="H18" s="4">
        <f>8/H11</f>
        <v>0.38095238095238093</v>
      </c>
      <c r="I18" s="4">
        <f t="shared" ref="I18:J18" si="6">8/I11</f>
        <v>8.3333333333333329E-2</v>
      </c>
      <c r="J18" s="4">
        <f t="shared" si="6"/>
        <v>5.7142857142857141E-2</v>
      </c>
      <c r="O18" t="s">
        <v>46</v>
      </c>
      <c r="P18" s="35">
        <f>H25</f>
        <v>2.2799422799422797</v>
      </c>
      <c r="Q18" s="35">
        <f t="shared" ref="Q18:R18" si="7">I25</f>
        <v>0.4987373737373737</v>
      </c>
      <c r="R18" s="35">
        <f t="shared" si="7"/>
        <v>0.34199134199134196</v>
      </c>
    </row>
    <row r="19" spans="7:24" x14ac:dyDescent="0.25">
      <c r="G19" s="1" t="s">
        <v>44</v>
      </c>
      <c r="H19" s="30">
        <f>H18*$K$17</f>
        <v>1.4333814333814332</v>
      </c>
      <c r="I19" s="30">
        <f t="shared" ref="I19:J19" si="8">I18*$K$17</f>
        <v>0.31355218855218853</v>
      </c>
      <c r="J19" s="30">
        <f t="shared" si="8"/>
        <v>0.21500721500721501</v>
      </c>
      <c r="K19" s="30"/>
      <c r="O19" s="1" t="s">
        <v>20</v>
      </c>
      <c r="P19" s="34">
        <f>P17+P18</f>
        <v>23.571895141895144</v>
      </c>
      <c r="Q19" s="34">
        <f t="shared" ref="Q19:R19" si="9">Q17+Q18</f>
        <v>4.4961562289562291</v>
      </c>
      <c r="R19" s="34">
        <f t="shared" si="9"/>
        <v>4.6810461760461761</v>
      </c>
    </row>
    <row r="21" spans="7:24" x14ac:dyDescent="0.25">
      <c r="O21" s="1"/>
    </row>
    <row r="22" spans="7:24" x14ac:dyDescent="0.25">
      <c r="G22" t="s">
        <v>42</v>
      </c>
      <c r="K22">
        <f>1320*12</f>
        <v>15840</v>
      </c>
    </row>
    <row r="23" spans="7:24" x14ac:dyDescent="0.25">
      <c r="G23" t="s">
        <v>45</v>
      </c>
      <c r="K23" s="29">
        <f>D12/K22</f>
        <v>5.9848484848484844</v>
      </c>
    </row>
    <row r="24" spans="7:24" x14ac:dyDescent="0.25">
      <c r="G24" t="s">
        <v>41</v>
      </c>
      <c r="H24" s="4">
        <f>(8/H11)</f>
        <v>0.38095238095238093</v>
      </c>
      <c r="I24" s="4">
        <f t="shared" ref="I24:J24" si="10">(8/I11)</f>
        <v>8.3333333333333329E-2</v>
      </c>
      <c r="J24" s="4">
        <f t="shared" si="10"/>
        <v>5.7142857142857141E-2</v>
      </c>
      <c r="K24" s="4">
        <f>SUM(H24:J24)</f>
        <v>0.52142857142857135</v>
      </c>
    </row>
    <row r="25" spans="7:24" x14ac:dyDescent="0.25">
      <c r="G25" s="1" t="s">
        <v>46</v>
      </c>
      <c r="H25" s="34">
        <f>H24*$K$23</f>
        <v>2.2799422799422797</v>
      </c>
      <c r="I25" s="34">
        <f t="shared" ref="I25:J25" si="11">I24*$K$23</f>
        <v>0.4987373737373737</v>
      </c>
      <c r="J25" s="34">
        <f t="shared" si="11"/>
        <v>0.34199134199134196</v>
      </c>
    </row>
    <row r="27" spans="7:24" x14ac:dyDescent="0.25"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</row>
    <row r="29" spans="7:24" x14ac:dyDescent="0.25">
      <c r="G29" s="1" t="s">
        <v>91</v>
      </c>
    </row>
    <row r="31" spans="7:24" x14ac:dyDescent="0.25">
      <c r="H31" t="s">
        <v>17</v>
      </c>
      <c r="I31" t="s">
        <v>16</v>
      </c>
      <c r="J31" t="s">
        <v>15</v>
      </c>
      <c r="K31" t="s">
        <v>89</v>
      </c>
      <c r="O31" s="1" t="s">
        <v>29</v>
      </c>
      <c r="P31" t="s">
        <v>17</v>
      </c>
      <c r="Q31" t="s">
        <v>16</v>
      </c>
      <c r="R31" t="s">
        <v>15</v>
      </c>
      <c r="S31" t="s">
        <v>89</v>
      </c>
      <c r="W31" s="22" t="s">
        <v>107</v>
      </c>
      <c r="X31" s="22">
        <v>28450</v>
      </c>
    </row>
    <row r="32" spans="7:24" x14ac:dyDescent="0.25">
      <c r="G32" t="s">
        <v>40</v>
      </c>
      <c r="H32">
        <v>2000</v>
      </c>
      <c r="I32">
        <v>5000</v>
      </c>
      <c r="J32">
        <v>3000</v>
      </c>
      <c r="K32" s="4">
        <f>28450/7</f>
        <v>4064.2857142857142</v>
      </c>
      <c r="W32" s="22" t="s">
        <v>112</v>
      </c>
      <c r="X32" s="37">
        <f>S44</f>
        <v>11.997142857142858</v>
      </c>
    </row>
    <row r="33" spans="7:24" x14ac:dyDescent="0.25">
      <c r="O33" t="s">
        <v>30</v>
      </c>
      <c r="P33" s="4">
        <f>H34*H35</f>
        <v>8.1000000000000014</v>
      </c>
      <c r="Q33" s="4">
        <f>I34*I35</f>
        <v>1.0640000000000001</v>
      </c>
      <c r="R33" s="4">
        <f>J34*J35</f>
        <v>1.0714285714285714</v>
      </c>
      <c r="S33" s="4">
        <f>K34*K35</f>
        <v>4.6500000000000004</v>
      </c>
      <c r="W33" s="22" t="s">
        <v>115</v>
      </c>
      <c r="X33" s="37">
        <f>S48</f>
        <v>13.576682499086591</v>
      </c>
    </row>
    <row r="34" spans="7:24" x14ac:dyDescent="0.25">
      <c r="G34" t="s">
        <v>21</v>
      </c>
      <c r="H34" s="4">
        <v>3</v>
      </c>
      <c r="I34" s="4">
        <v>1.1200000000000001</v>
      </c>
      <c r="J34" s="4">
        <v>1.1000000000000001</v>
      </c>
      <c r="K34" s="4">
        <v>1.5</v>
      </c>
      <c r="L34" s="4"/>
      <c r="M34" s="4"/>
      <c r="O34" t="s">
        <v>31</v>
      </c>
      <c r="P34" s="4"/>
      <c r="Q34" s="4"/>
      <c r="R34" s="4">
        <f>1.15*1.1</f>
        <v>1.2649999999999999</v>
      </c>
      <c r="S34" s="4"/>
      <c r="W34" s="22" t="s">
        <v>116</v>
      </c>
      <c r="X34" s="37">
        <f>X33/(1-0.2298)</f>
        <v>17.627476628260958</v>
      </c>
    </row>
    <row r="35" spans="7:24" x14ac:dyDescent="0.25">
      <c r="G35" t="s">
        <v>22</v>
      </c>
      <c r="H35" s="4">
        <v>2.7</v>
      </c>
      <c r="I35" s="4">
        <v>0.95</v>
      </c>
      <c r="J35" s="4">
        <f>3.75/3.85</f>
        <v>0.97402597402597402</v>
      </c>
      <c r="K35" s="4">
        <v>3.1</v>
      </c>
      <c r="L35" s="4"/>
      <c r="M35" s="4"/>
      <c r="O35" t="s">
        <v>32</v>
      </c>
      <c r="P35" s="4">
        <v>0.25</v>
      </c>
      <c r="Q35" s="4">
        <v>0.09</v>
      </c>
      <c r="R35" s="4"/>
      <c r="S35" s="4">
        <v>0.45</v>
      </c>
      <c r="W35" s="22" t="s">
        <v>117</v>
      </c>
      <c r="X35" s="37">
        <f>S44</f>
        <v>11.997142857142858</v>
      </c>
    </row>
    <row r="36" spans="7:24" x14ac:dyDescent="0.25">
      <c r="G36" t="s">
        <v>23</v>
      </c>
      <c r="H36" s="4">
        <v>0.25</v>
      </c>
      <c r="I36" s="4">
        <v>0.09</v>
      </c>
      <c r="J36" s="4"/>
      <c r="K36" s="4">
        <v>0.45</v>
      </c>
      <c r="L36" s="4"/>
      <c r="M36" s="4"/>
      <c r="O36" s="6" t="s">
        <v>33</v>
      </c>
      <c r="P36" s="34">
        <f>SUM(P33:P35)</f>
        <v>8.3500000000000014</v>
      </c>
      <c r="Q36" s="34">
        <f>SUM(Q33:Q35)</f>
        <v>1.1540000000000001</v>
      </c>
      <c r="R36" s="34">
        <f>SUM(R33:R35)</f>
        <v>2.3364285714285713</v>
      </c>
      <c r="S36" s="34">
        <f>SUM(S33:S35)</f>
        <v>5.1000000000000005</v>
      </c>
    </row>
    <row r="37" spans="7:24" x14ac:dyDescent="0.25">
      <c r="G37" t="s">
        <v>25</v>
      </c>
      <c r="H37" s="4"/>
      <c r="I37" s="4"/>
      <c r="J37" s="4">
        <f>1.15*J34</f>
        <v>1.2649999999999999</v>
      </c>
      <c r="K37" s="4"/>
      <c r="L37" s="4"/>
      <c r="M37" s="4"/>
      <c r="P37" s="4"/>
      <c r="Q37" s="4"/>
      <c r="R37" s="4"/>
      <c r="S37" s="4"/>
    </row>
    <row r="38" spans="7:24" x14ac:dyDescent="0.25">
      <c r="G38" t="s">
        <v>24</v>
      </c>
      <c r="H38" s="4"/>
      <c r="I38" s="4"/>
      <c r="J38" s="4">
        <f>4000/J34</f>
        <v>3636.363636363636</v>
      </c>
      <c r="K38" s="4"/>
      <c r="L38" s="9"/>
      <c r="M38" s="9"/>
      <c r="O38" t="s">
        <v>34</v>
      </c>
      <c r="P38" s="4"/>
      <c r="Q38" s="4"/>
      <c r="R38" s="4">
        <f>(8/J38)*20</f>
        <v>4.4000000000000004E-2</v>
      </c>
      <c r="S38" s="4"/>
    </row>
    <row r="39" spans="7:24" x14ac:dyDescent="0.25">
      <c r="G39" t="s">
        <v>26</v>
      </c>
      <c r="H39" s="4">
        <f>4500/H34</f>
        <v>1500</v>
      </c>
      <c r="I39" s="4">
        <f>4500/I34</f>
        <v>4017.8571428571427</v>
      </c>
      <c r="J39" s="4">
        <f>4500/J34</f>
        <v>4090.9090909090905</v>
      </c>
      <c r="K39" s="4">
        <f>4500/K34</f>
        <v>3000</v>
      </c>
      <c r="L39" s="9"/>
      <c r="M39" s="9"/>
      <c r="O39" t="s">
        <v>35</v>
      </c>
      <c r="P39" s="4">
        <f>(8/H39)*15</f>
        <v>0.08</v>
      </c>
      <c r="Q39" s="4">
        <f>(8/I39)*15</f>
        <v>2.9866666666666666E-2</v>
      </c>
      <c r="R39" s="4">
        <f>(8/J39)*15</f>
        <v>2.9333333333333336E-2</v>
      </c>
      <c r="S39" s="4">
        <f>(8/K39)*15</f>
        <v>0.04</v>
      </c>
    </row>
    <row r="40" spans="7:24" x14ac:dyDescent="0.25">
      <c r="G40" t="s">
        <v>27</v>
      </c>
      <c r="H40" s="4">
        <v>21</v>
      </c>
      <c r="I40" s="4">
        <v>96</v>
      </c>
      <c r="J40" s="4">
        <v>140</v>
      </c>
      <c r="K40" s="4">
        <v>35</v>
      </c>
      <c r="L40" s="9"/>
      <c r="M40" s="9"/>
      <c r="O40" t="s">
        <v>36</v>
      </c>
      <c r="P40" s="4">
        <f>15*(H47)</f>
        <v>5.7142857142857135</v>
      </c>
      <c r="Q40" s="4">
        <f>15*(I47)</f>
        <v>1.25</v>
      </c>
      <c r="R40" s="4">
        <f>15*(J47)</f>
        <v>0.8571428571428571</v>
      </c>
      <c r="S40" s="4">
        <f>15*(K47)</f>
        <v>3.4285714285714284</v>
      </c>
    </row>
    <row r="41" spans="7:24" x14ac:dyDescent="0.25">
      <c r="G41" t="s">
        <v>28</v>
      </c>
      <c r="H41" s="4">
        <f>H40</f>
        <v>21</v>
      </c>
      <c r="I41" s="4">
        <f t="shared" ref="I41:J41" si="12">I40</f>
        <v>96</v>
      </c>
      <c r="J41" s="4">
        <f t="shared" si="12"/>
        <v>140</v>
      </c>
      <c r="K41" s="4">
        <v>35</v>
      </c>
      <c r="L41" s="9"/>
      <c r="M41" s="9"/>
      <c r="O41" t="s">
        <v>37</v>
      </c>
      <c r="P41" s="4">
        <f>(8/H41)*15</f>
        <v>5.7142857142857135</v>
      </c>
      <c r="Q41" s="4">
        <f>(8/I41)*15</f>
        <v>1.25</v>
      </c>
      <c r="R41" s="4">
        <f>(8/J41)*15</f>
        <v>0.8571428571428571</v>
      </c>
      <c r="S41" s="4">
        <f>(8/K41)*15</f>
        <v>3.4285714285714284</v>
      </c>
    </row>
    <row r="42" spans="7:24" x14ac:dyDescent="0.25">
      <c r="H42" s="4"/>
      <c r="I42" s="4"/>
      <c r="J42" s="4"/>
      <c r="K42" s="4"/>
      <c r="L42" s="4"/>
      <c r="M42" s="4"/>
      <c r="O42" s="6" t="s">
        <v>38</v>
      </c>
      <c r="P42" s="34">
        <f t="shared" ref="P42:S42" si="13">SUM(P38:P41)</f>
        <v>11.508571428571427</v>
      </c>
      <c r="Q42" s="34">
        <f t="shared" si="13"/>
        <v>2.5298666666666669</v>
      </c>
      <c r="R42" s="34">
        <f t="shared" si="13"/>
        <v>1.7876190476190477</v>
      </c>
      <c r="S42" s="34">
        <f t="shared" si="13"/>
        <v>6.8971428571428568</v>
      </c>
    </row>
    <row r="43" spans="7:24" x14ac:dyDescent="0.25">
      <c r="G43" s="1" t="s">
        <v>39</v>
      </c>
      <c r="H43" s="4"/>
      <c r="I43" s="4"/>
      <c r="J43" s="4"/>
      <c r="K43" s="4"/>
      <c r="L43" s="4"/>
      <c r="M43" s="4"/>
      <c r="P43" s="4"/>
      <c r="Q43" s="4"/>
      <c r="R43" s="4"/>
      <c r="S43" s="4"/>
    </row>
    <row r="44" spans="7:24" x14ac:dyDescent="0.25">
      <c r="H44" s="4"/>
      <c r="I44" s="4"/>
      <c r="J44" s="4"/>
      <c r="K44" s="4"/>
      <c r="L44" s="4"/>
      <c r="M44" s="4"/>
      <c r="O44" s="1" t="s">
        <v>18</v>
      </c>
      <c r="P44" s="4">
        <f>P36+P42</f>
        <v>19.85857142857143</v>
      </c>
      <c r="Q44" s="4">
        <f t="shared" ref="Q44:S44" si="14">Q36+Q42</f>
        <v>3.6838666666666668</v>
      </c>
      <c r="R44" s="4">
        <f t="shared" si="14"/>
        <v>4.1240476190476194</v>
      </c>
      <c r="S44" s="4">
        <f t="shared" si="14"/>
        <v>11.997142857142858</v>
      </c>
    </row>
    <row r="45" spans="7:24" x14ac:dyDescent="0.25">
      <c r="G45" t="s">
        <v>42</v>
      </c>
      <c r="H45" s="4"/>
      <c r="I45" s="4"/>
      <c r="J45" s="4"/>
      <c r="K45" s="4"/>
      <c r="L45" s="4">
        <f>(1320*12)+((28450/35)*8)</f>
        <v>22342.857142857145</v>
      </c>
      <c r="M45" s="4"/>
      <c r="O45" t="s">
        <v>44</v>
      </c>
      <c r="P45" s="35">
        <f>H48</f>
        <v>1.0161977834612104</v>
      </c>
      <c r="Q45" s="35">
        <f>I48</f>
        <v>0.22229326513213979</v>
      </c>
      <c r="R45" s="35">
        <f>J48</f>
        <v>0.15242966751918158</v>
      </c>
      <c r="S45" s="35">
        <f>K48</f>
        <v>0.60971867007672631</v>
      </c>
    </row>
    <row r="46" spans="7:24" x14ac:dyDescent="0.25">
      <c r="G46" t="s">
        <v>43</v>
      </c>
      <c r="H46" s="4"/>
      <c r="I46" s="4"/>
      <c r="J46" s="4"/>
      <c r="K46" s="4"/>
      <c r="L46" s="4">
        <f>C12/L45</f>
        <v>2.6675191815856776</v>
      </c>
      <c r="M46" s="4"/>
      <c r="O46" s="1" t="s">
        <v>47</v>
      </c>
      <c r="P46" s="34">
        <f>SUM(P44:P45)</f>
        <v>20.874769212032639</v>
      </c>
      <c r="Q46" s="34">
        <f t="shared" ref="Q46:S46" si="15">SUM(Q44:Q45)</f>
        <v>3.9061599317988067</v>
      </c>
      <c r="R46" s="34">
        <f t="shared" si="15"/>
        <v>4.2764772865668013</v>
      </c>
      <c r="S46" s="34">
        <f t="shared" si="15"/>
        <v>12.606861527219584</v>
      </c>
    </row>
    <row r="47" spans="7:24" x14ac:dyDescent="0.25">
      <c r="G47" t="s">
        <v>41</v>
      </c>
      <c r="H47" s="4">
        <f>8/H40</f>
        <v>0.38095238095238093</v>
      </c>
      <c r="I47" s="4">
        <f t="shared" ref="I47:K47" si="16">8/I40</f>
        <v>8.3333333333333329E-2</v>
      </c>
      <c r="J47" s="4">
        <f t="shared" si="16"/>
        <v>5.7142857142857141E-2</v>
      </c>
      <c r="K47" s="4">
        <f t="shared" si="16"/>
        <v>0.22857142857142856</v>
      </c>
      <c r="L47" s="4"/>
      <c r="M47" s="4"/>
      <c r="O47" t="s">
        <v>46</v>
      </c>
      <c r="P47" s="35">
        <f>H54</f>
        <v>1.6163682864450124</v>
      </c>
      <c r="Q47" s="35">
        <f>I54</f>
        <v>0.3535805626598465</v>
      </c>
      <c r="R47" s="35">
        <f>J54</f>
        <v>0.24245524296675189</v>
      </c>
      <c r="S47" s="35">
        <f>K54</f>
        <v>0.96982097186700755</v>
      </c>
    </row>
    <row r="48" spans="7:24" x14ac:dyDescent="0.25">
      <c r="G48" s="1" t="s">
        <v>44</v>
      </c>
      <c r="H48" s="34">
        <f>$L$46*H47</f>
        <v>1.0161977834612104</v>
      </c>
      <c r="I48" s="34">
        <f t="shared" ref="I48:K48" si="17">$L$46*I47</f>
        <v>0.22229326513213979</v>
      </c>
      <c r="J48" s="34">
        <f t="shared" si="17"/>
        <v>0.15242966751918158</v>
      </c>
      <c r="K48" s="34">
        <f t="shared" si="17"/>
        <v>0.60971867007672631</v>
      </c>
      <c r="L48" s="4"/>
      <c r="M48" s="4"/>
      <c r="O48" s="1" t="s">
        <v>20</v>
      </c>
      <c r="P48" s="34">
        <f>P46+P47</f>
        <v>22.491137498477652</v>
      </c>
      <c r="Q48" s="34">
        <f t="shared" ref="Q48:S48" si="18">Q46+Q47</f>
        <v>4.2597404944586534</v>
      </c>
      <c r="R48" s="34">
        <f t="shared" si="18"/>
        <v>4.5189325295335534</v>
      </c>
      <c r="S48" s="34">
        <f t="shared" si="18"/>
        <v>13.576682499086591</v>
      </c>
    </row>
    <row r="49" spans="1:25" x14ac:dyDescent="0.25">
      <c r="H49" s="4"/>
      <c r="I49" s="4"/>
      <c r="J49" s="4"/>
      <c r="K49" s="4"/>
      <c r="L49" s="4"/>
      <c r="M49" s="4"/>
    </row>
    <row r="50" spans="1:25" x14ac:dyDescent="0.25">
      <c r="H50" s="4"/>
      <c r="I50" s="4"/>
      <c r="J50" s="4"/>
      <c r="K50" s="4"/>
      <c r="L50" s="4"/>
      <c r="M50" s="4"/>
      <c r="R50" s="1"/>
    </row>
    <row r="51" spans="1:25" x14ac:dyDescent="0.25">
      <c r="G51" t="s">
        <v>42</v>
      </c>
      <c r="H51" s="4"/>
      <c r="I51" s="4"/>
      <c r="J51" s="4"/>
      <c r="K51" s="4"/>
      <c r="L51" s="4">
        <f>L45</f>
        <v>22342.857142857145</v>
      </c>
      <c r="M51" s="4"/>
    </row>
    <row r="52" spans="1:25" x14ac:dyDescent="0.25">
      <c r="G52" t="s">
        <v>45</v>
      </c>
      <c r="H52" s="4"/>
      <c r="I52" s="4"/>
      <c r="J52" s="4"/>
      <c r="K52" s="4"/>
      <c r="L52" s="4">
        <f>D12/L51</f>
        <v>4.242966751918158</v>
      </c>
      <c r="M52" s="4"/>
      <c r="R52" s="1"/>
    </row>
    <row r="53" spans="1:25" x14ac:dyDescent="0.25">
      <c r="G53" t="s">
        <v>41</v>
      </c>
      <c r="H53" s="4">
        <f>(8/H40)</f>
        <v>0.38095238095238093</v>
      </c>
      <c r="I53" s="4">
        <f t="shared" ref="I53:K53" si="19">(8/I40)</f>
        <v>8.3333333333333329E-2</v>
      </c>
      <c r="J53" s="4">
        <f t="shared" si="19"/>
        <v>5.7142857142857141E-2</v>
      </c>
      <c r="K53" s="4">
        <f t="shared" si="19"/>
        <v>0.22857142857142856</v>
      </c>
      <c r="L53" s="4"/>
      <c r="M53" s="4"/>
    </row>
    <row r="54" spans="1:25" x14ac:dyDescent="0.25">
      <c r="G54" s="1" t="s">
        <v>46</v>
      </c>
      <c r="H54" s="34">
        <f>$L$52*H53</f>
        <v>1.6163682864450124</v>
      </c>
      <c r="I54" s="34">
        <f t="shared" ref="I54:K54" si="20">$L$52*I53</f>
        <v>0.3535805626598465</v>
      </c>
      <c r="J54" s="34">
        <f t="shared" si="20"/>
        <v>0.24245524296675189</v>
      </c>
      <c r="K54" s="34">
        <f t="shared" si="20"/>
        <v>0.96982097186700755</v>
      </c>
      <c r="L54" s="4"/>
      <c r="M54" s="4"/>
      <c r="R54" s="1"/>
    </row>
    <row r="56" spans="1:25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8" spans="1:25" x14ac:dyDescent="0.25">
      <c r="C58" s="1" t="s">
        <v>9</v>
      </c>
      <c r="D58" s="1" t="s">
        <v>10</v>
      </c>
      <c r="E58" s="1" t="s">
        <v>12</v>
      </c>
      <c r="G58" s="1" t="s">
        <v>118</v>
      </c>
    </row>
    <row r="60" spans="1:25" x14ac:dyDescent="0.25">
      <c r="B60" s="2" t="s">
        <v>14</v>
      </c>
      <c r="C60" s="21"/>
      <c r="D60" s="21"/>
      <c r="E60" s="21"/>
      <c r="H60" t="s">
        <v>17</v>
      </c>
      <c r="I60" t="s">
        <v>16</v>
      </c>
      <c r="J60" t="s">
        <v>15</v>
      </c>
      <c r="K60" t="s">
        <v>103</v>
      </c>
      <c r="O60" s="1" t="s">
        <v>29</v>
      </c>
      <c r="P60" t="s">
        <v>17</v>
      </c>
      <c r="Q60" t="s">
        <v>16</v>
      </c>
      <c r="R60" t="s">
        <v>15</v>
      </c>
      <c r="S60" t="s">
        <v>103</v>
      </c>
      <c r="Y60" s="40"/>
    </row>
    <row r="61" spans="1:25" x14ac:dyDescent="0.25">
      <c r="B61" t="s">
        <v>13</v>
      </c>
      <c r="C61" s="19">
        <v>2000</v>
      </c>
      <c r="D61" s="19"/>
      <c r="E61" s="19">
        <f t="shared" ref="E61" si="21">SUM(C61:D61)</f>
        <v>2000</v>
      </c>
      <c r="G61" t="s">
        <v>40</v>
      </c>
      <c r="H61">
        <v>2000</v>
      </c>
      <c r="I61">
        <v>5000</v>
      </c>
      <c r="J61">
        <v>3000</v>
      </c>
      <c r="K61" s="4">
        <f>2500</f>
        <v>2500</v>
      </c>
      <c r="W61" t="s">
        <v>122</v>
      </c>
      <c r="Y61" s="40"/>
    </row>
    <row r="62" spans="1:25" x14ac:dyDescent="0.25">
      <c r="C62" s="19"/>
      <c r="D62" s="19"/>
      <c r="E62" s="19"/>
      <c r="O62" t="s">
        <v>30</v>
      </c>
      <c r="P62" s="4">
        <f>H63*H64</f>
        <v>8.1000000000000014</v>
      </c>
      <c r="Q62" s="4">
        <f>I63*I64</f>
        <v>1.0640000000000001</v>
      </c>
      <c r="R62" s="4">
        <f>J63*J64</f>
        <v>1.0714285714285714</v>
      </c>
      <c r="S62" s="4">
        <f>K63*K64</f>
        <v>4.93</v>
      </c>
      <c r="T62" s="4"/>
      <c r="W62" s="22" t="s">
        <v>107</v>
      </c>
      <c r="X62" s="22">
        <f>(K61)*12</f>
        <v>30000</v>
      </c>
      <c r="Y62" s="40"/>
    </row>
    <row r="63" spans="1:25" x14ac:dyDescent="0.25">
      <c r="B63" t="s">
        <v>3</v>
      </c>
      <c r="C63" s="19">
        <f>4700*0.8*12</f>
        <v>45120</v>
      </c>
      <c r="D63" s="19">
        <f>4700*0.2*12</f>
        <v>11280</v>
      </c>
      <c r="E63" s="19">
        <f>SUM(C63:D63)</f>
        <v>56400</v>
      </c>
      <c r="G63" t="s">
        <v>21</v>
      </c>
      <c r="H63" s="4">
        <v>3</v>
      </c>
      <c r="I63" s="4">
        <v>1.1200000000000001</v>
      </c>
      <c r="J63" s="4">
        <v>1.1000000000000001</v>
      </c>
      <c r="K63" s="4">
        <f>1.7</f>
        <v>1.7</v>
      </c>
      <c r="L63" s="4"/>
      <c r="M63" s="4"/>
      <c r="O63" t="s">
        <v>31</v>
      </c>
      <c r="P63" s="4"/>
      <c r="Q63" s="4"/>
      <c r="R63" s="4">
        <f>1.15*1.1</f>
        <v>1.2649999999999999</v>
      </c>
      <c r="S63" s="4"/>
      <c r="W63" s="22" t="s">
        <v>112</v>
      </c>
      <c r="X63" s="37">
        <f>S73+T73</f>
        <v>12.282476190476189</v>
      </c>
      <c r="Y63" s="41"/>
    </row>
    <row r="64" spans="1:25" x14ac:dyDescent="0.25">
      <c r="B64" t="s">
        <v>11</v>
      </c>
      <c r="C64" s="19">
        <f>1300*0.8*12*(1.3)</f>
        <v>16224</v>
      </c>
      <c r="D64" s="19">
        <f>1300*0.2*12</f>
        <v>3120</v>
      </c>
      <c r="E64" s="19">
        <f>SUM(C64:D64)</f>
        <v>19344</v>
      </c>
      <c r="G64" t="s">
        <v>22</v>
      </c>
      <c r="H64" s="4">
        <v>2.7</v>
      </c>
      <c r="I64" s="4">
        <v>0.95</v>
      </c>
      <c r="J64" s="4">
        <f>3.75/3.85</f>
        <v>0.97402597402597402</v>
      </c>
      <c r="K64" s="5">
        <v>2.9</v>
      </c>
      <c r="L64" s="4"/>
      <c r="M64" s="4"/>
      <c r="O64" t="s">
        <v>32</v>
      </c>
      <c r="P64" s="4">
        <v>0.25</v>
      </c>
      <c r="Q64" s="4">
        <v>0.09</v>
      </c>
      <c r="R64" s="4"/>
      <c r="S64" s="4">
        <v>0.45</v>
      </c>
      <c r="T64" s="4"/>
      <c r="W64" s="22" t="s">
        <v>115</v>
      </c>
      <c r="X64" s="37">
        <f>S77+T77</f>
        <v>14.076474176377499</v>
      </c>
      <c r="Y64" s="41"/>
    </row>
    <row r="65" spans="2:25" x14ac:dyDescent="0.25">
      <c r="B65" t="s">
        <v>5</v>
      </c>
      <c r="C65" s="19"/>
      <c r="D65" s="19">
        <f>150*12</f>
        <v>1800</v>
      </c>
      <c r="E65" s="19">
        <f>SUM(C65:D65)</f>
        <v>1800</v>
      </c>
      <c r="G65" t="s">
        <v>23</v>
      </c>
      <c r="H65" s="4">
        <v>0.25</v>
      </c>
      <c r="I65" s="4">
        <v>0.09</v>
      </c>
      <c r="J65" s="4"/>
      <c r="K65">
        <v>0.45</v>
      </c>
      <c r="L65" s="4"/>
      <c r="M65" s="4"/>
      <c r="O65" s="6" t="s">
        <v>33</v>
      </c>
      <c r="P65" s="34">
        <f>SUM(P62:P64)</f>
        <v>8.3500000000000014</v>
      </c>
      <c r="Q65" s="34">
        <f>SUM(Q62:Q64)</f>
        <v>1.1540000000000001</v>
      </c>
      <c r="R65" s="34">
        <f>SUM(R62:R64)</f>
        <v>2.3364285714285713</v>
      </c>
      <c r="S65" s="34">
        <f>SUM(S62:S64)</f>
        <v>5.38</v>
      </c>
      <c r="T65" s="34"/>
      <c r="W65" s="22" t="s">
        <v>116</v>
      </c>
      <c r="X65" s="37">
        <f>X64/(1-0.2298)</f>
        <v>18.276388180183716</v>
      </c>
      <c r="Y65" s="41"/>
    </row>
    <row r="66" spans="2:25" x14ac:dyDescent="0.25">
      <c r="B66" t="s">
        <v>6</v>
      </c>
      <c r="C66" s="19"/>
      <c r="D66" s="19">
        <f>60000+20000</f>
        <v>80000</v>
      </c>
      <c r="E66" s="19">
        <f>SUM(C66:D66)</f>
        <v>80000</v>
      </c>
      <c r="G66" t="s">
        <v>25</v>
      </c>
      <c r="H66" s="4"/>
      <c r="I66" s="4"/>
      <c r="J66" s="4">
        <f>1.15*J63</f>
        <v>1.2649999999999999</v>
      </c>
      <c r="L66" s="4"/>
      <c r="M66" s="4"/>
      <c r="P66" s="4"/>
      <c r="Q66" s="4"/>
      <c r="R66" s="4"/>
      <c r="S66" s="4"/>
      <c r="W66" s="22" t="s">
        <v>117</v>
      </c>
      <c r="X66" s="37">
        <f>X72</f>
        <v>13.073942857142853</v>
      </c>
      <c r="Y66" s="41"/>
    </row>
    <row r="67" spans="2:25" x14ac:dyDescent="0.25">
      <c r="B67" t="s">
        <v>7</v>
      </c>
      <c r="C67" s="19"/>
      <c r="D67" s="19">
        <v>18600</v>
      </c>
      <c r="E67" s="19">
        <f>SUM(C67:D67)</f>
        <v>18600</v>
      </c>
      <c r="G67" t="s">
        <v>24</v>
      </c>
      <c r="H67" s="4"/>
      <c r="I67" s="4"/>
      <c r="J67" s="4">
        <f>4000/J63</f>
        <v>3636.363636363636</v>
      </c>
      <c r="L67" s="9"/>
      <c r="M67" s="9"/>
      <c r="O67" t="s">
        <v>34</v>
      </c>
      <c r="P67" s="4"/>
      <c r="Q67" s="4"/>
      <c r="R67" s="4">
        <f>(8/J67)*20</f>
        <v>4.4000000000000004E-2</v>
      </c>
      <c r="S67" s="4"/>
      <c r="Y67" s="40"/>
    </row>
    <row r="68" spans="2:25" x14ac:dyDescent="0.25">
      <c r="B68" s="1" t="s">
        <v>19</v>
      </c>
      <c r="C68" s="20">
        <f>SUM(C61:C67)</f>
        <v>63344</v>
      </c>
      <c r="D68" s="20">
        <f>SUM(D61:D67)</f>
        <v>114800</v>
      </c>
      <c r="E68" s="20">
        <f>SUM(E61:E67)</f>
        <v>178144</v>
      </c>
      <c r="G68" t="s">
        <v>26</v>
      </c>
      <c r="H68" s="4">
        <f>4500/H63</f>
        <v>1500</v>
      </c>
      <c r="I68" s="4">
        <f>4500/I63</f>
        <v>4017.8571428571427</v>
      </c>
      <c r="J68" s="4">
        <f>4500/J63</f>
        <v>4090.9090909090905</v>
      </c>
      <c r="K68" s="4">
        <f t="shared" ref="K68" si="22">4500/K63</f>
        <v>2647.0588235294117</v>
      </c>
      <c r="L68" s="4"/>
      <c r="M68" s="9"/>
      <c r="O68" t="s">
        <v>35</v>
      </c>
      <c r="P68" s="4">
        <f>(8/H68)*15</f>
        <v>0.08</v>
      </c>
      <c r="Q68" s="4">
        <f>(8/I68)*15</f>
        <v>2.9866666666666666E-2</v>
      </c>
      <c r="R68" s="4">
        <f>(8/J68)*15</f>
        <v>2.9333333333333336E-2</v>
      </c>
      <c r="S68" s="4">
        <f>(8/K68)*15</f>
        <v>4.533333333333333E-2</v>
      </c>
      <c r="T68" s="4"/>
      <c r="Y68" s="40"/>
    </row>
    <row r="69" spans="2:25" x14ac:dyDescent="0.25">
      <c r="B69" s="1" t="s">
        <v>20</v>
      </c>
      <c r="C69" s="19"/>
      <c r="D69" s="19"/>
      <c r="E69" s="20">
        <f>E60+E68</f>
        <v>178144</v>
      </c>
      <c r="G69" t="s">
        <v>27</v>
      </c>
      <c r="H69" s="4">
        <v>21</v>
      </c>
      <c r="I69" s="4">
        <v>96</v>
      </c>
      <c r="J69" s="4">
        <v>140</v>
      </c>
      <c r="K69">
        <v>35</v>
      </c>
      <c r="M69" s="9"/>
      <c r="O69" t="s">
        <v>36</v>
      </c>
      <c r="P69" s="4">
        <f>15*(H76)</f>
        <v>5.7142857142857135</v>
      </c>
      <c r="Q69" s="4">
        <f>15*(I76)</f>
        <v>1.25</v>
      </c>
      <c r="R69" s="4">
        <f>15*(J76)</f>
        <v>0.8571428571428571</v>
      </c>
      <c r="S69" s="4">
        <f>15*(K76)</f>
        <v>3.4285714285714284</v>
      </c>
      <c r="T69" s="4"/>
      <c r="W69" s="38" t="s">
        <v>120</v>
      </c>
      <c r="X69" s="4">
        <f>(S73*K61*12)</f>
        <v>368474.28571428562</v>
      </c>
      <c r="Y69" s="41"/>
    </row>
    <row r="70" spans="2:25" x14ac:dyDescent="0.25">
      <c r="G70" t="s">
        <v>28</v>
      </c>
      <c r="H70" s="4">
        <f>H69</f>
        <v>21</v>
      </c>
      <c r="I70" s="4">
        <f t="shared" ref="I70:J70" si="23">I69</f>
        <v>96</v>
      </c>
      <c r="J70" s="4">
        <f t="shared" si="23"/>
        <v>140</v>
      </c>
      <c r="K70">
        <f>K69</f>
        <v>35</v>
      </c>
      <c r="M70" s="9"/>
      <c r="O70" t="s">
        <v>37</v>
      </c>
      <c r="P70" s="4">
        <f>(8/H70)*15</f>
        <v>5.7142857142857135</v>
      </c>
      <c r="Q70" s="4">
        <f>(8/I70)*15</f>
        <v>1.25</v>
      </c>
      <c r="R70" s="4">
        <f>(8/J70)*15</f>
        <v>0.8571428571428571</v>
      </c>
      <c r="S70" s="4">
        <f>(8/K70)*15</f>
        <v>3.4285714285714284</v>
      </c>
      <c r="T70" s="4"/>
      <c r="W70" s="38" t="s">
        <v>121</v>
      </c>
      <c r="X70" s="29">
        <f>20000+(C8*0.3)</f>
        <v>23744</v>
      </c>
      <c r="Y70" s="42"/>
    </row>
    <row r="71" spans="2:25" x14ac:dyDescent="0.25">
      <c r="H71" s="4"/>
      <c r="I71" s="4"/>
      <c r="J71" s="4"/>
      <c r="K71" s="4"/>
      <c r="L71" s="4"/>
      <c r="M71" s="4"/>
      <c r="O71" s="6" t="s">
        <v>38</v>
      </c>
      <c r="P71" s="34">
        <f t="shared" ref="P71:S71" si="24">SUM(P67:P70)</f>
        <v>11.508571428571427</v>
      </c>
      <c r="Q71" s="34">
        <f t="shared" si="24"/>
        <v>2.5298666666666669</v>
      </c>
      <c r="R71" s="34">
        <f t="shared" si="24"/>
        <v>1.7876190476190477</v>
      </c>
      <c r="S71" s="34">
        <f t="shared" si="24"/>
        <v>6.9024761904761895</v>
      </c>
      <c r="T71" s="34"/>
      <c r="W71" s="38" t="s">
        <v>109</v>
      </c>
      <c r="X71" s="39">
        <f>SUM(X69:X70)</f>
        <v>392218.28571428562</v>
      </c>
      <c r="Y71" s="41"/>
    </row>
    <row r="72" spans="2:25" x14ac:dyDescent="0.25">
      <c r="G72" s="1" t="s">
        <v>39</v>
      </c>
      <c r="H72" s="4"/>
      <c r="I72" s="4"/>
      <c r="J72" s="4"/>
      <c r="K72" s="4"/>
      <c r="L72" s="4"/>
      <c r="M72" s="4"/>
      <c r="P72" s="4"/>
      <c r="Q72" s="4"/>
      <c r="R72" s="4"/>
      <c r="S72" s="4"/>
      <c r="W72" s="38" t="s">
        <v>119</v>
      </c>
      <c r="X72">
        <f>X71/X62</f>
        <v>13.073942857142853</v>
      </c>
      <c r="Y72" s="40"/>
    </row>
    <row r="73" spans="2:25" x14ac:dyDescent="0.25">
      <c r="H73" s="4"/>
      <c r="I73" s="4"/>
      <c r="J73" s="4"/>
      <c r="K73" s="4"/>
      <c r="L73" s="4"/>
      <c r="M73" s="4"/>
      <c r="O73" s="1" t="s">
        <v>18</v>
      </c>
      <c r="P73" s="4">
        <f>P65+P71</f>
        <v>19.85857142857143</v>
      </c>
      <c r="Q73" s="4">
        <f t="shared" ref="Q73:S73" si="25">Q65+Q71</f>
        <v>3.6838666666666668</v>
      </c>
      <c r="R73" s="4">
        <f t="shared" si="25"/>
        <v>4.1240476190476194</v>
      </c>
      <c r="S73" s="4">
        <f t="shared" si="25"/>
        <v>12.282476190476189</v>
      </c>
      <c r="T73" s="4"/>
      <c r="Y73" s="40"/>
    </row>
    <row r="74" spans="2:25" x14ac:dyDescent="0.25">
      <c r="G74" t="s">
        <v>42</v>
      </c>
      <c r="H74" s="4"/>
      <c r="I74" s="4"/>
      <c r="J74" s="4"/>
      <c r="K74" s="4"/>
      <c r="L74" s="4"/>
      <c r="M74" s="4">
        <f>(1320*12) + ((K61)*8*12/35)</f>
        <v>22697.142857142855</v>
      </c>
      <c r="O74" t="s">
        <v>44</v>
      </c>
      <c r="P74" s="35">
        <f>H77</f>
        <v>1.0631755622692178</v>
      </c>
      <c r="Q74" s="35">
        <f>I77</f>
        <v>0.23256965424639142</v>
      </c>
      <c r="R74" s="35">
        <f>J77</f>
        <v>0.15947633434038269</v>
      </c>
      <c r="S74" s="35">
        <f>K77</f>
        <v>0.63790533736153077</v>
      </c>
      <c r="T74" s="35"/>
      <c r="Y74" s="40"/>
    </row>
    <row r="75" spans="2:25" x14ac:dyDescent="0.25">
      <c r="G75" t="s">
        <v>43</v>
      </c>
      <c r="H75" s="4"/>
      <c r="I75" s="4"/>
      <c r="J75" s="4"/>
      <c r="K75" s="4"/>
      <c r="L75" s="4"/>
      <c r="M75" s="4">
        <f>C68/M74</f>
        <v>2.7908358509566971</v>
      </c>
      <c r="O75" s="1" t="s">
        <v>47</v>
      </c>
      <c r="P75" s="34">
        <f>SUM(P73:P74)</f>
        <v>20.921746990840649</v>
      </c>
      <c r="Q75" s="34">
        <f t="shared" ref="Q75:S75" si="26">SUM(Q73:Q74)</f>
        <v>3.9164363209130584</v>
      </c>
      <c r="R75" s="34">
        <f t="shared" si="26"/>
        <v>4.2835239533880021</v>
      </c>
      <c r="S75" s="34">
        <f t="shared" si="26"/>
        <v>12.920381527837719</v>
      </c>
      <c r="T75" s="34"/>
      <c r="Y75" s="40"/>
    </row>
    <row r="76" spans="2:25" x14ac:dyDescent="0.25">
      <c r="G76" t="s">
        <v>41</v>
      </c>
      <c r="H76" s="4">
        <f>8/H69</f>
        <v>0.38095238095238093</v>
      </c>
      <c r="I76" s="4">
        <f t="shared" ref="I76:K76" si="27">8/I69</f>
        <v>8.3333333333333329E-2</v>
      </c>
      <c r="J76" s="4">
        <f t="shared" si="27"/>
        <v>5.7142857142857141E-2</v>
      </c>
      <c r="K76" s="4">
        <f t="shared" si="27"/>
        <v>0.22857142857142856</v>
      </c>
      <c r="L76" s="4"/>
      <c r="M76" s="4"/>
      <c r="O76" t="s">
        <v>46</v>
      </c>
      <c r="P76" s="35">
        <f>H83</f>
        <v>1.9268210808996309</v>
      </c>
      <c r="Q76" s="35">
        <f>I83</f>
        <v>0.42149211144679427</v>
      </c>
      <c r="R76" s="35">
        <f>J83</f>
        <v>0.28902316213494467</v>
      </c>
      <c r="S76" s="35">
        <f>K83</f>
        <v>1.1560926485397787</v>
      </c>
      <c r="T76" s="35"/>
      <c r="Y76" s="40"/>
    </row>
    <row r="77" spans="2:25" x14ac:dyDescent="0.25">
      <c r="G77" s="1" t="s">
        <v>44</v>
      </c>
      <c r="H77" s="34">
        <f>$M$75*H76</f>
        <v>1.0631755622692178</v>
      </c>
      <c r="I77" s="34">
        <f t="shared" ref="I77:K77" si="28">$M$75*I76</f>
        <v>0.23256965424639142</v>
      </c>
      <c r="J77" s="34">
        <f t="shared" si="28"/>
        <v>0.15947633434038269</v>
      </c>
      <c r="K77" s="34">
        <f t="shared" si="28"/>
        <v>0.63790533736153077</v>
      </c>
      <c r="L77" s="34"/>
      <c r="M77" s="4"/>
      <c r="O77" s="1" t="s">
        <v>20</v>
      </c>
      <c r="P77" s="34">
        <f>P75+P76</f>
        <v>22.848568071740281</v>
      </c>
      <c r="Q77" s="34">
        <f t="shared" ref="Q77:S77" si="29">Q75+Q76</f>
        <v>4.3379284323598526</v>
      </c>
      <c r="R77" s="34">
        <f t="shared" si="29"/>
        <v>4.5725471155229469</v>
      </c>
      <c r="S77" s="34">
        <f t="shared" si="29"/>
        <v>14.076474176377499</v>
      </c>
      <c r="T77" s="34"/>
      <c r="Y77" s="40"/>
    </row>
    <row r="78" spans="2:25" x14ac:dyDescent="0.25">
      <c r="H78" s="4"/>
      <c r="I78" s="4"/>
      <c r="J78" s="4"/>
      <c r="K78" s="4"/>
      <c r="L78" s="4"/>
      <c r="M78" s="4"/>
    </row>
    <row r="79" spans="2:25" x14ac:dyDescent="0.25">
      <c r="H79" s="4"/>
      <c r="I79" s="4"/>
      <c r="J79" s="4"/>
      <c r="K79" s="4"/>
      <c r="L79" s="4"/>
      <c r="M79" s="4"/>
      <c r="R79" s="1"/>
    </row>
    <row r="80" spans="2:25" x14ac:dyDescent="0.25">
      <c r="G80" t="s">
        <v>42</v>
      </c>
      <c r="H80" s="4"/>
      <c r="I80" s="4"/>
      <c r="J80" s="4"/>
      <c r="K80" s="4"/>
      <c r="L80" s="4"/>
      <c r="M80" s="4">
        <f>M74</f>
        <v>22697.142857142855</v>
      </c>
    </row>
    <row r="81" spans="2:24" x14ac:dyDescent="0.25">
      <c r="G81" t="s">
        <v>45</v>
      </c>
      <c r="H81" s="4"/>
      <c r="I81" s="4"/>
      <c r="J81" s="4"/>
      <c r="K81" s="4"/>
      <c r="L81" s="4"/>
      <c r="M81" s="4">
        <f>D68/M80</f>
        <v>5.0579053373615315</v>
      </c>
      <c r="R81" s="1"/>
    </row>
    <row r="82" spans="2:24" x14ac:dyDescent="0.25">
      <c r="G82" t="s">
        <v>41</v>
      </c>
      <c r="H82" s="4">
        <f>(8/H69)</f>
        <v>0.38095238095238093</v>
      </c>
      <c r="I82" s="4">
        <f t="shared" ref="I82:K82" si="30">(8/I69)</f>
        <v>8.3333333333333329E-2</v>
      </c>
      <c r="J82" s="4">
        <f t="shared" si="30"/>
        <v>5.7142857142857141E-2</v>
      </c>
      <c r="K82" s="4">
        <f t="shared" si="30"/>
        <v>0.22857142857142856</v>
      </c>
      <c r="L82" s="4"/>
      <c r="M82" s="4"/>
    </row>
    <row r="83" spans="2:24" x14ac:dyDescent="0.25">
      <c r="G83" s="1" t="s">
        <v>46</v>
      </c>
      <c r="H83" s="34">
        <f>$M$81*H82</f>
        <v>1.9268210808996309</v>
      </c>
      <c r="I83" s="34">
        <f t="shared" ref="I83:K83" si="31">$M$81*I82</f>
        <v>0.42149211144679427</v>
      </c>
      <c r="J83" s="34">
        <f t="shared" si="31"/>
        <v>0.28902316213494467</v>
      </c>
      <c r="K83" s="34">
        <f t="shared" si="31"/>
        <v>1.1560926485397787</v>
      </c>
      <c r="L83" s="34"/>
      <c r="M83" s="4"/>
      <c r="R83" s="1"/>
    </row>
    <row r="87" spans="2:24" x14ac:dyDescent="0.25">
      <c r="C87" s="1" t="s">
        <v>9</v>
      </c>
      <c r="D87" s="1" t="s">
        <v>10</v>
      </c>
      <c r="E87" s="1" t="s">
        <v>12</v>
      </c>
      <c r="G87" s="1" t="s">
        <v>118</v>
      </c>
    </row>
    <row r="89" spans="2:24" x14ac:dyDescent="0.25">
      <c r="B89" s="2" t="s">
        <v>14</v>
      </c>
      <c r="C89" s="21"/>
      <c r="D89" s="21"/>
      <c r="E89" s="21"/>
      <c r="H89" t="s">
        <v>17</v>
      </c>
      <c r="I89" t="s">
        <v>16</v>
      </c>
      <c r="J89" t="s">
        <v>15</v>
      </c>
      <c r="K89" t="s">
        <v>103</v>
      </c>
      <c r="L89" t="s">
        <v>104</v>
      </c>
      <c r="O89" s="1" t="s">
        <v>29</v>
      </c>
      <c r="P89" t="s">
        <v>17</v>
      </c>
      <c r="Q89" t="s">
        <v>16</v>
      </c>
      <c r="R89" t="s">
        <v>15</v>
      </c>
      <c r="S89" t="s">
        <v>103</v>
      </c>
      <c r="T89" t="s">
        <v>104</v>
      </c>
    </row>
    <row r="90" spans="2:24" x14ac:dyDescent="0.25">
      <c r="B90" t="s">
        <v>13</v>
      </c>
      <c r="C90" s="19">
        <v>2000</v>
      </c>
      <c r="D90" s="19"/>
      <c r="E90" s="19">
        <f t="shared" ref="E90" si="32">SUM(C90:D90)</f>
        <v>2000</v>
      </c>
      <c r="G90" t="s">
        <v>40</v>
      </c>
      <c r="H90">
        <v>2000</v>
      </c>
      <c r="I90">
        <v>5000</v>
      </c>
      <c r="J90">
        <v>3000</v>
      </c>
      <c r="K90" s="4">
        <f>2500</f>
        <v>2500</v>
      </c>
      <c r="L90">
        <f>2500</f>
        <v>2500</v>
      </c>
    </row>
    <row r="91" spans="2:24" x14ac:dyDescent="0.25">
      <c r="C91" s="19"/>
      <c r="D91" s="19"/>
      <c r="E91" s="19"/>
      <c r="O91" t="s">
        <v>30</v>
      </c>
      <c r="P91" s="4">
        <f>H92*H93</f>
        <v>8.1000000000000014</v>
      </c>
      <c r="Q91" s="4">
        <f>I92*I93</f>
        <v>1.0640000000000001</v>
      </c>
      <c r="R91" s="4">
        <f>J92*J93</f>
        <v>1.0714285714285714</v>
      </c>
      <c r="S91" s="4">
        <f>K92*K93</f>
        <v>4.93</v>
      </c>
      <c r="T91" s="4"/>
      <c r="W91" s="22" t="s">
        <v>107</v>
      </c>
      <c r="X91" s="22">
        <f>(L90)*12</f>
        <v>30000</v>
      </c>
    </row>
    <row r="92" spans="2:24" x14ac:dyDescent="0.25">
      <c r="B92" t="s">
        <v>3</v>
      </c>
      <c r="C92" s="19">
        <f>4700*0.8*12</f>
        <v>45120</v>
      </c>
      <c r="D92" s="19">
        <f>4700*0.2*12</f>
        <v>11280</v>
      </c>
      <c r="E92" s="19">
        <f>SUM(C92:D92)</f>
        <v>56400</v>
      </c>
      <c r="G92" t="s">
        <v>21</v>
      </c>
      <c r="H92" s="4">
        <v>3</v>
      </c>
      <c r="I92" s="4">
        <v>1.1200000000000001</v>
      </c>
      <c r="J92" s="4">
        <v>1.1000000000000001</v>
      </c>
      <c r="K92" s="4">
        <f>1.7</f>
        <v>1.7</v>
      </c>
      <c r="L92" s="4"/>
      <c r="M92" s="4"/>
      <c r="O92" t="s">
        <v>31</v>
      </c>
      <c r="P92" s="4"/>
      <c r="Q92" s="4"/>
      <c r="R92" s="4">
        <f>1.15*1.1</f>
        <v>1.2649999999999999</v>
      </c>
      <c r="S92" s="4"/>
      <c r="W92" s="22" t="s">
        <v>112</v>
      </c>
      <c r="X92" s="37">
        <f>S102+T102</f>
        <v>12.282476190476189</v>
      </c>
    </row>
    <row r="93" spans="2:24" x14ac:dyDescent="0.25">
      <c r="B93" t="s">
        <v>11</v>
      </c>
      <c r="C93" s="19">
        <f>1300*0.8*12*(1.3)</f>
        <v>16224</v>
      </c>
      <c r="D93" s="19">
        <f>1300*0.2*12</f>
        <v>3120</v>
      </c>
      <c r="E93" s="19">
        <f>SUM(C93:D93)</f>
        <v>19344</v>
      </c>
      <c r="G93" t="s">
        <v>22</v>
      </c>
      <c r="H93" s="4">
        <v>2.7</v>
      </c>
      <c r="I93" s="4">
        <v>0.95</v>
      </c>
      <c r="J93" s="4">
        <f>3.75/3.85</f>
        <v>0.97402597402597402</v>
      </c>
      <c r="K93" s="5">
        <v>2.9</v>
      </c>
      <c r="L93" s="4"/>
      <c r="M93" s="4"/>
      <c r="O93" t="s">
        <v>32</v>
      </c>
      <c r="P93" s="4">
        <v>0.25</v>
      </c>
      <c r="Q93" s="4">
        <v>0.09</v>
      </c>
      <c r="R93" s="4"/>
      <c r="S93" s="4">
        <v>0.45</v>
      </c>
      <c r="T93" s="4"/>
      <c r="W93" s="22" t="s">
        <v>115</v>
      </c>
      <c r="X93" s="37">
        <f>S106</f>
        <v>13.660233344381833</v>
      </c>
    </row>
    <row r="94" spans="2:24" x14ac:dyDescent="0.25">
      <c r="B94" t="s">
        <v>5</v>
      </c>
      <c r="C94" s="19"/>
      <c r="D94" s="19">
        <f>150*12</f>
        <v>1800</v>
      </c>
      <c r="E94" s="19">
        <f>SUM(C94:D94)</f>
        <v>1800</v>
      </c>
      <c r="G94" t="s">
        <v>23</v>
      </c>
      <c r="H94" s="4">
        <v>0.25</v>
      </c>
      <c r="I94" s="4">
        <v>0.09</v>
      </c>
      <c r="J94" s="4"/>
      <c r="K94">
        <v>0.45</v>
      </c>
      <c r="L94" s="4"/>
      <c r="M94" s="4"/>
      <c r="O94" s="6" t="s">
        <v>33</v>
      </c>
      <c r="P94" s="34">
        <f>SUM(P91:P93)</f>
        <v>8.3500000000000014</v>
      </c>
      <c r="Q94" s="34">
        <f>SUM(Q91:Q93)</f>
        <v>1.1540000000000001</v>
      </c>
      <c r="R94" s="34">
        <f>SUM(R91:R93)</f>
        <v>2.3364285714285713</v>
      </c>
      <c r="S94" s="34">
        <f>SUM(S91:S93)</f>
        <v>5.38</v>
      </c>
      <c r="T94" s="34"/>
      <c r="W94" s="22" t="s">
        <v>116</v>
      </c>
      <c r="X94" s="37">
        <f>X93/(1-0.2298)</f>
        <v>17.735956043082101</v>
      </c>
    </row>
    <row r="95" spans="2:24" x14ac:dyDescent="0.25">
      <c r="B95" t="s">
        <v>6</v>
      </c>
      <c r="C95" s="19"/>
      <c r="D95" s="19">
        <f>60000+20000</f>
        <v>80000</v>
      </c>
      <c r="E95" s="19">
        <f>SUM(C95:D95)</f>
        <v>80000</v>
      </c>
      <c r="G95" t="s">
        <v>25</v>
      </c>
      <c r="H95" s="4"/>
      <c r="I95" s="4"/>
      <c r="J95" s="4">
        <f>1.15*J92</f>
        <v>1.2649999999999999</v>
      </c>
      <c r="L95" s="4"/>
      <c r="M95" s="4"/>
      <c r="P95" s="4"/>
      <c r="Q95" s="4"/>
      <c r="R95" s="4"/>
      <c r="S95" s="4"/>
      <c r="W95" s="22" t="s">
        <v>117</v>
      </c>
      <c r="X95" s="37">
        <f>X101</f>
        <v>13.073942857142853</v>
      </c>
    </row>
    <row r="96" spans="2:24" x14ac:dyDescent="0.25">
      <c r="B96" t="s">
        <v>7</v>
      </c>
      <c r="C96" s="19"/>
      <c r="D96" s="19">
        <v>18600</v>
      </c>
      <c r="E96" s="19">
        <f>SUM(C96:D96)</f>
        <v>18600</v>
      </c>
      <c r="G96" t="s">
        <v>24</v>
      </c>
      <c r="H96" s="4"/>
      <c r="I96" s="4"/>
      <c r="J96" s="4">
        <f>4000/J92</f>
        <v>3636.363636363636</v>
      </c>
      <c r="L96" s="9"/>
      <c r="M96" s="9"/>
      <c r="O96" t="s">
        <v>34</v>
      </c>
      <c r="P96" s="4"/>
      <c r="Q96" s="4"/>
      <c r="R96" s="4">
        <f>(8/J96)*20</f>
        <v>4.4000000000000004E-2</v>
      </c>
      <c r="S96" s="4"/>
    </row>
    <row r="97" spans="2:24" x14ac:dyDescent="0.25">
      <c r="B97" s="1" t="s">
        <v>19</v>
      </c>
      <c r="C97" s="20">
        <f>SUM(C90:C96)</f>
        <v>63344</v>
      </c>
      <c r="D97" s="20">
        <f>SUM(D90:D96)</f>
        <v>114800</v>
      </c>
      <c r="E97" s="20">
        <f>SUM(E90:E96)</f>
        <v>178144</v>
      </c>
      <c r="G97" t="s">
        <v>26</v>
      </c>
      <c r="H97" s="4">
        <f>4500/H92</f>
        <v>1500</v>
      </c>
      <c r="I97" s="4">
        <f>4500/I92</f>
        <v>4017.8571428571427</v>
      </c>
      <c r="J97" s="4">
        <f>4500/J92</f>
        <v>4090.9090909090905</v>
      </c>
      <c r="K97" s="4">
        <f t="shared" ref="K97:L97" si="33">4500/K92</f>
        <v>2647.0588235294117</v>
      </c>
      <c r="L97" s="4"/>
      <c r="M97" s="9"/>
      <c r="O97" t="s">
        <v>35</v>
      </c>
      <c r="P97" s="4">
        <f>(8/H97)*15</f>
        <v>0.08</v>
      </c>
      <c r="Q97" s="4">
        <f>(8/I97)*15</f>
        <v>2.9866666666666666E-2</v>
      </c>
      <c r="R97" s="4">
        <f>(8/J97)*15</f>
        <v>2.9333333333333336E-2</v>
      </c>
      <c r="S97" s="4">
        <f>(8/K97)*15</f>
        <v>4.533333333333333E-2</v>
      </c>
      <c r="T97" s="4"/>
    </row>
    <row r="98" spans="2:24" x14ac:dyDescent="0.25">
      <c r="B98" s="1" t="s">
        <v>20</v>
      </c>
      <c r="C98" s="19"/>
      <c r="D98" s="19"/>
      <c r="E98" s="20">
        <f>E89+E97</f>
        <v>178144</v>
      </c>
      <c r="G98" t="s">
        <v>27</v>
      </c>
      <c r="H98" s="4">
        <v>21</v>
      </c>
      <c r="I98" s="4">
        <v>96</v>
      </c>
      <c r="J98" s="4">
        <v>140</v>
      </c>
      <c r="K98">
        <v>35</v>
      </c>
      <c r="L98" s="4"/>
      <c r="M98" s="9"/>
      <c r="O98" t="s">
        <v>36</v>
      </c>
      <c r="P98" s="4">
        <f>15*(H105)</f>
        <v>5.7142857142857135</v>
      </c>
      <c r="Q98" s="4">
        <f>15*(I105)</f>
        <v>1.25</v>
      </c>
      <c r="R98" s="4">
        <f>15*(J105)</f>
        <v>0.8571428571428571</v>
      </c>
      <c r="S98" s="4">
        <f>15*(K105)</f>
        <v>3.4285714285714284</v>
      </c>
      <c r="T98" s="4"/>
      <c r="W98" s="38" t="s">
        <v>120</v>
      </c>
      <c r="X98" s="4">
        <f>(S102*K90*12)+(T102*L90*12)</f>
        <v>368474.28571428562</v>
      </c>
    </row>
    <row r="99" spans="2:24" x14ac:dyDescent="0.25">
      <c r="G99" t="s">
        <v>28</v>
      </c>
      <c r="H99" s="4">
        <f>H98</f>
        <v>21</v>
      </c>
      <c r="I99" s="4">
        <f t="shared" ref="I99:J99" si="34">I98</f>
        <v>96</v>
      </c>
      <c r="J99" s="4">
        <f t="shared" si="34"/>
        <v>140</v>
      </c>
      <c r="K99">
        <f>K98</f>
        <v>35</v>
      </c>
      <c r="M99" s="9"/>
      <c r="O99" t="s">
        <v>37</v>
      </c>
      <c r="P99" s="4">
        <f>(8/H99)*15</f>
        <v>5.7142857142857135</v>
      </c>
      <c r="Q99" s="4">
        <f>(8/I99)*15</f>
        <v>1.25</v>
      </c>
      <c r="R99" s="4">
        <f>(8/J99)*15</f>
        <v>0.8571428571428571</v>
      </c>
      <c r="S99" s="4">
        <f>(8/K99)*15</f>
        <v>3.4285714285714284</v>
      </c>
      <c r="T99" s="4"/>
      <c r="W99" s="38" t="s">
        <v>121</v>
      </c>
      <c r="X99" s="29">
        <f>20000+(C8*0.3)</f>
        <v>23744</v>
      </c>
    </row>
    <row r="100" spans="2:24" x14ac:dyDescent="0.25">
      <c r="H100" s="4"/>
      <c r="I100" s="4"/>
      <c r="J100" s="4"/>
      <c r="K100" s="4"/>
      <c r="L100" s="4"/>
      <c r="M100" s="4"/>
      <c r="O100" s="6" t="s">
        <v>38</v>
      </c>
      <c r="P100" s="34">
        <f t="shared" ref="P100:T100" si="35">SUM(P96:P99)</f>
        <v>11.508571428571427</v>
      </c>
      <c r="Q100" s="34">
        <f t="shared" si="35"/>
        <v>2.5298666666666669</v>
      </c>
      <c r="R100" s="34">
        <f t="shared" si="35"/>
        <v>1.7876190476190477</v>
      </c>
      <c r="S100" s="34">
        <f t="shared" si="35"/>
        <v>6.9024761904761895</v>
      </c>
      <c r="T100" s="34"/>
      <c r="W100" s="38" t="s">
        <v>109</v>
      </c>
      <c r="X100" s="39">
        <f>SUM(X98:X99)</f>
        <v>392218.28571428562</v>
      </c>
    </row>
    <row r="101" spans="2:24" x14ac:dyDescent="0.25">
      <c r="G101" s="1" t="s">
        <v>39</v>
      </c>
      <c r="H101" s="4"/>
      <c r="I101" s="4"/>
      <c r="J101" s="4"/>
      <c r="K101" s="4"/>
      <c r="L101" s="4"/>
      <c r="M101" s="4"/>
      <c r="P101" s="4"/>
      <c r="Q101" s="4"/>
      <c r="R101" s="4"/>
      <c r="S101" s="4"/>
      <c r="W101" s="38" t="s">
        <v>119</v>
      </c>
      <c r="X101">
        <f>X100/X91</f>
        <v>13.073942857142853</v>
      </c>
    </row>
    <row r="102" spans="2:24" x14ac:dyDescent="0.25">
      <c r="H102" s="4"/>
      <c r="I102" s="4"/>
      <c r="J102" s="4"/>
      <c r="K102" s="4"/>
      <c r="L102" s="4"/>
      <c r="M102" s="4"/>
      <c r="O102" s="1" t="s">
        <v>18</v>
      </c>
      <c r="P102" s="4">
        <f>P94+P100</f>
        <v>19.85857142857143</v>
      </c>
      <c r="Q102" s="4">
        <f t="shared" ref="Q102:T102" si="36">Q94+Q100</f>
        <v>3.6838666666666668</v>
      </c>
      <c r="R102" s="4">
        <f t="shared" si="36"/>
        <v>4.1240476190476194</v>
      </c>
      <c r="S102" s="4">
        <f t="shared" si="36"/>
        <v>12.282476190476189</v>
      </c>
      <c r="T102" s="4"/>
    </row>
    <row r="103" spans="2:24" x14ac:dyDescent="0.25">
      <c r="G103" t="s">
        <v>42</v>
      </c>
      <c r="H103" s="4"/>
      <c r="I103" s="4"/>
      <c r="J103" s="4"/>
      <c r="K103" s="4"/>
      <c r="L103" s="4"/>
      <c r="M103" s="4">
        <f>(1320*12) + ((K90+L90)*8*12/35)</f>
        <v>29554.285714285714</v>
      </c>
      <c r="O103" t="s">
        <v>44</v>
      </c>
      <c r="P103" s="35">
        <f>H106</f>
        <v>0.81649909770559415</v>
      </c>
      <c r="Q103" s="35">
        <f>I106</f>
        <v>0.17860917762309872</v>
      </c>
      <c r="R103" s="35">
        <f>J106</f>
        <v>0.12247486465583912</v>
      </c>
      <c r="S103" s="35">
        <f>K106</f>
        <v>0.48989945862335649</v>
      </c>
      <c r="T103" s="35"/>
    </row>
    <row r="104" spans="2:24" x14ac:dyDescent="0.25">
      <c r="G104" t="s">
        <v>43</v>
      </c>
      <c r="H104" s="4"/>
      <c r="I104" s="4"/>
      <c r="J104" s="4"/>
      <c r="K104" s="4"/>
      <c r="L104" s="4"/>
      <c r="M104" s="4">
        <f>C97/M103</f>
        <v>2.1433101314771847</v>
      </c>
      <c r="O104" s="1" t="s">
        <v>47</v>
      </c>
      <c r="P104" s="34">
        <f>SUM(P102:P103)</f>
        <v>20.675070526277025</v>
      </c>
      <c r="Q104" s="34">
        <f t="shared" ref="Q104:T104" si="37">SUM(Q102:Q103)</f>
        <v>3.8624758442897655</v>
      </c>
      <c r="R104" s="34">
        <f t="shared" si="37"/>
        <v>4.2465224837034583</v>
      </c>
      <c r="S104" s="34">
        <f t="shared" si="37"/>
        <v>12.772375649099544</v>
      </c>
      <c r="T104" s="34"/>
    </row>
    <row r="105" spans="2:24" x14ac:dyDescent="0.25">
      <c r="G105" t="s">
        <v>41</v>
      </c>
      <c r="H105" s="4">
        <f>8/H98</f>
        <v>0.38095238095238093</v>
      </c>
      <c r="I105" s="4">
        <f t="shared" ref="I105:L105" si="38">8/I98</f>
        <v>8.3333333333333329E-2</v>
      </c>
      <c r="J105" s="4">
        <f t="shared" si="38"/>
        <v>5.7142857142857141E-2</v>
      </c>
      <c r="K105" s="4">
        <f t="shared" si="38"/>
        <v>0.22857142857142856</v>
      </c>
      <c r="L105" s="4"/>
      <c r="M105" s="4"/>
      <c r="O105" t="s">
        <v>46</v>
      </c>
      <c r="P105" s="35">
        <f>H112</f>
        <v>1.479762825470482</v>
      </c>
      <c r="Q105" s="35">
        <f>I112</f>
        <v>0.32369811807166793</v>
      </c>
      <c r="R105" s="35">
        <f>J112</f>
        <v>0.2219644238205723</v>
      </c>
      <c r="S105" s="35">
        <f>K112</f>
        <v>0.88785769528228919</v>
      </c>
      <c r="T105" s="35"/>
    </row>
    <row r="106" spans="2:24" x14ac:dyDescent="0.25">
      <c r="G106" s="1" t="s">
        <v>44</v>
      </c>
      <c r="H106" s="34">
        <f>$M$104*H105</f>
        <v>0.81649909770559415</v>
      </c>
      <c r="I106" s="34">
        <f t="shared" ref="I106:L106" si="39">$M$104*I105</f>
        <v>0.17860917762309872</v>
      </c>
      <c r="J106" s="34">
        <f t="shared" si="39"/>
        <v>0.12247486465583912</v>
      </c>
      <c r="K106" s="34">
        <f t="shared" si="39"/>
        <v>0.48989945862335649</v>
      </c>
      <c r="L106" s="34"/>
      <c r="M106" s="4"/>
      <c r="O106" s="1" t="s">
        <v>20</v>
      </c>
      <c r="P106" s="34">
        <f>P104+P105</f>
        <v>22.154833351747506</v>
      </c>
      <c r="Q106" s="34">
        <f t="shared" ref="Q106:T106" si="40">Q104+Q105</f>
        <v>4.1861739623614334</v>
      </c>
      <c r="R106" s="34">
        <f t="shared" si="40"/>
        <v>4.4684869075240305</v>
      </c>
      <c r="S106" s="34">
        <f t="shared" si="40"/>
        <v>13.660233344381833</v>
      </c>
      <c r="T106" s="34">
        <f>S106*0.8</f>
        <v>10.928186675505467</v>
      </c>
    </row>
    <row r="107" spans="2:24" x14ac:dyDescent="0.25">
      <c r="H107" s="4"/>
      <c r="I107" s="4"/>
      <c r="J107" s="4"/>
      <c r="K107" s="4"/>
      <c r="L107" s="4"/>
      <c r="M107" s="4"/>
    </row>
    <row r="108" spans="2:24" x14ac:dyDescent="0.25">
      <c r="H108" s="4"/>
      <c r="I108" s="4"/>
      <c r="J108" s="4"/>
      <c r="K108" s="4"/>
      <c r="L108" s="4"/>
      <c r="M108" s="4"/>
      <c r="R108" s="1"/>
    </row>
    <row r="109" spans="2:24" x14ac:dyDescent="0.25">
      <c r="G109" t="s">
        <v>42</v>
      </c>
      <c r="H109" s="4"/>
      <c r="I109" s="4"/>
      <c r="J109" s="4"/>
      <c r="K109" s="4"/>
      <c r="L109" s="4"/>
      <c r="M109" s="4">
        <f>M103</f>
        <v>29554.285714285714</v>
      </c>
    </row>
    <row r="110" spans="2:24" x14ac:dyDescent="0.25">
      <c r="G110" t="s">
        <v>45</v>
      </c>
      <c r="H110" s="4"/>
      <c r="I110" s="4"/>
      <c r="J110" s="4"/>
      <c r="K110" s="4"/>
      <c r="L110" s="4"/>
      <c r="M110" s="4">
        <f>D97/M109</f>
        <v>3.8843774168600156</v>
      </c>
      <c r="R110" s="1"/>
    </row>
    <row r="111" spans="2:24" x14ac:dyDescent="0.25">
      <c r="G111" t="s">
        <v>41</v>
      </c>
      <c r="H111" s="4">
        <f>(8/H98)</f>
        <v>0.38095238095238093</v>
      </c>
      <c r="I111" s="4">
        <f t="shared" ref="I111:L111" si="41">(8/I98)</f>
        <v>8.3333333333333329E-2</v>
      </c>
      <c r="J111" s="4">
        <f t="shared" si="41"/>
        <v>5.7142857142857141E-2</v>
      </c>
      <c r="K111" s="4">
        <f t="shared" si="41"/>
        <v>0.22857142857142856</v>
      </c>
      <c r="L111" s="4"/>
      <c r="M111" s="4"/>
    </row>
    <row r="112" spans="2:24" x14ac:dyDescent="0.25">
      <c r="G112" s="1" t="s">
        <v>46</v>
      </c>
      <c r="H112" s="34">
        <f>$M$110*H111</f>
        <v>1.479762825470482</v>
      </c>
      <c r="I112" s="34">
        <f>$M$110*I111</f>
        <v>0.32369811807166793</v>
      </c>
      <c r="J112" s="34">
        <f>$M$110*J111</f>
        <v>0.2219644238205723</v>
      </c>
      <c r="K112" s="34">
        <f>$M$110*K111</f>
        <v>0.88785769528228919</v>
      </c>
      <c r="L112" s="34"/>
      <c r="M112" s="4"/>
      <c r="R112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18"/>
  <sheetViews>
    <sheetView workbookViewId="0">
      <selection activeCell="H21" sqref="H21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7" width="10.5703125" bestFit="1" customWidth="1"/>
    <col min="8" max="8" width="13.28515625" bestFit="1" customWidth="1"/>
  </cols>
  <sheetData>
    <row r="3" spans="2:8" x14ac:dyDescent="0.25">
      <c r="F3" s="1" t="s">
        <v>9</v>
      </c>
      <c r="G3" s="1" t="s">
        <v>10</v>
      </c>
      <c r="H3" s="1" t="s">
        <v>12</v>
      </c>
    </row>
    <row r="4" spans="2:8" x14ac:dyDescent="0.25">
      <c r="B4" t="s">
        <v>0</v>
      </c>
      <c r="C4" s="19">
        <v>1350000</v>
      </c>
      <c r="F4" s="19"/>
      <c r="G4" s="19"/>
      <c r="H4" s="19"/>
    </row>
    <row r="5" spans="2:8" x14ac:dyDescent="0.25">
      <c r="B5" t="s">
        <v>1</v>
      </c>
      <c r="C5" s="19">
        <v>945000</v>
      </c>
      <c r="E5" s="2" t="s">
        <v>14</v>
      </c>
      <c r="F5" s="21">
        <f>945000-59600</f>
        <v>885400</v>
      </c>
      <c r="G5" s="21"/>
      <c r="H5" s="21">
        <f>SUM(F5:G5)</f>
        <v>885400</v>
      </c>
    </row>
    <row r="6" spans="2:8" x14ac:dyDescent="0.25">
      <c r="B6" t="s">
        <v>2</v>
      </c>
      <c r="C6" s="19">
        <f>C4-C5</f>
        <v>405000</v>
      </c>
      <c r="E6" t="s">
        <v>13</v>
      </c>
      <c r="F6" s="19">
        <v>2000</v>
      </c>
      <c r="G6" s="19"/>
      <c r="H6" s="19">
        <f>SUM(F6:G6)</f>
        <v>2000</v>
      </c>
    </row>
    <row r="7" spans="2:8" x14ac:dyDescent="0.25">
      <c r="C7" s="19"/>
      <c r="F7" s="19"/>
      <c r="G7" s="19"/>
      <c r="H7" s="19"/>
    </row>
    <row r="8" spans="2:8" x14ac:dyDescent="0.25">
      <c r="B8" t="s">
        <v>3</v>
      </c>
      <c r="C8" s="19">
        <v>11280</v>
      </c>
      <c r="E8" t="s">
        <v>3</v>
      </c>
      <c r="F8" s="19">
        <f>4700*0.8*12</f>
        <v>45120</v>
      </c>
      <c r="G8" s="19">
        <f>4700*0.2*12</f>
        <v>11280</v>
      </c>
      <c r="H8" s="19">
        <f>SUM(F8:G8)</f>
        <v>56400</v>
      </c>
    </row>
    <row r="9" spans="2:8" x14ac:dyDescent="0.25">
      <c r="B9" t="s">
        <v>4</v>
      </c>
      <c r="C9" s="19">
        <v>3120</v>
      </c>
      <c r="E9" t="s">
        <v>11</v>
      </c>
      <c r="F9" s="19">
        <f>1300*0.8*12</f>
        <v>12480</v>
      </c>
      <c r="G9" s="19">
        <f>1300*0.2*12</f>
        <v>3120</v>
      </c>
      <c r="H9" s="19">
        <f>SUM(F9:G9)</f>
        <v>15600</v>
      </c>
    </row>
    <row r="10" spans="2:8" x14ac:dyDescent="0.25">
      <c r="B10" t="s">
        <v>5</v>
      </c>
      <c r="C10" s="19">
        <v>1800</v>
      </c>
      <c r="E10" t="s">
        <v>5</v>
      </c>
      <c r="F10" s="19"/>
      <c r="G10" s="19">
        <f>150*12</f>
        <v>1800</v>
      </c>
      <c r="H10" s="19">
        <f>SUM(F10:G10)</f>
        <v>1800</v>
      </c>
    </row>
    <row r="11" spans="2:8" x14ac:dyDescent="0.25">
      <c r="B11" t="s">
        <v>6</v>
      </c>
      <c r="C11" s="19">
        <v>60000</v>
      </c>
      <c r="E11" t="s">
        <v>6</v>
      </c>
      <c r="F11" s="19"/>
      <c r="G11" s="19">
        <v>60000</v>
      </c>
      <c r="H11" s="19">
        <f>SUM(F11:G11)</f>
        <v>60000</v>
      </c>
    </row>
    <row r="12" spans="2:8" x14ac:dyDescent="0.25">
      <c r="B12" t="s">
        <v>7</v>
      </c>
      <c r="C12" s="19">
        <v>18600</v>
      </c>
      <c r="E12" t="s">
        <v>7</v>
      </c>
      <c r="F12" s="19"/>
      <c r="G12" s="19">
        <v>18600</v>
      </c>
      <c r="H12" s="19">
        <f>SUM(F12:G12)</f>
        <v>18600</v>
      </c>
    </row>
    <row r="13" spans="2:8" x14ac:dyDescent="0.25">
      <c r="C13" s="19"/>
      <c r="E13" s="1" t="s">
        <v>19</v>
      </c>
      <c r="F13" s="20">
        <f>SUM(F6:F12)</f>
        <v>59600</v>
      </c>
      <c r="G13" s="20">
        <f>SUM(G6:G12)</f>
        <v>94800</v>
      </c>
      <c r="H13" s="20">
        <f>SUM(H6:H12)</f>
        <v>154400</v>
      </c>
    </row>
    <row r="14" spans="2:8" x14ac:dyDescent="0.25">
      <c r="C14" s="19"/>
      <c r="E14" s="1" t="s">
        <v>20</v>
      </c>
      <c r="F14" s="19"/>
      <c r="G14" s="19"/>
      <c r="H14" s="20">
        <f>H5+H13</f>
        <v>1039800</v>
      </c>
    </row>
    <row r="15" spans="2:8" x14ac:dyDescent="0.25">
      <c r="B15" s="1" t="s">
        <v>8</v>
      </c>
      <c r="C15" s="20">
        <f>C6-SUM(C8:C12)</f>
        <v>310200</v>
      </c>
      <c r="E15" s="1" t="s">
        <v>8</v>
      </c>
      <c r="F15" s="19"/>
      <c r="G15" s="19"/>
      <c r="H15" s="20">
        <f>C4-H14</f>
        <v>310200</v>
      </c>
    </row>
    <row r="16" spans="2:8" x14ac:dyDescent="0.25">
      <c r="C16" s="19"/>
    </row>
    <row r="17" spans="3:8" x14ac:dyDescent="0.25">
      <c r="C17" s="19"/>
      <c r="E17" s="1" t="s">
        <v>48</v>
      </c>
      <c r="H17" s="7">
        <f>H15/C4</f>
        <v>0.22977777777777778</v>
      </c>
    </row>
    <row r="18" spans="3:8" x14ac:dyDescent="0.25">
      <c r="C18" s="19">
        <f>SUM(C8:C12)+C5</f>
        <v>1039800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2-22</vt:lpstr>
      <vt:lpstr>Existing Cost Structure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Accounting</dc:subject>
  <dc:creator>Vishwanathan Iyer</dc:creator>
  <cp:lastModifiedBy>Bijesh Singha</cp:lastModifiedBy>
  <dcterms:created xsi:type="dcterms:W3CDTF">2012-09-17T08:53:35Z</dcterms:created>
  <dcterms:modified xsi:type="dcterms:W3CDTF">2025-07-23T16:34:21Z</dcterms:modified>
</cp:coreProperties>
</file>