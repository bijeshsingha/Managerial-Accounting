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 Dist" sheetId="1" r:id="rId4"/>
  </sheets>
  <definedNames/>
  <calcPr/>
  <extLst>
    <ext uri="GoogleSheetsCustomDataVersion2">
      <go:sheetsCustomData xmlns:go="http://customooxmlschemas.google.com/" r:id="rId5" roundtripDataChecksum="fc3LIQumTpmpTWg06Y+w4W1XFv2S89FaUonFuMwSNeM="/>
    </ext>
  </extLst>
</workbook>
</file>

<file path=xl/sharedStrings.xml><?xml version="1.0" encoding="utf-8"?>
<sst xmlns="http://schemas.openxmlformats.org/spreadsheetml/2006/main" count="45" uniqueCount="38">
  <si>
    <t>Drop</t>
  </si>
  <si>
    <t>Sales</t>
  </si>
  <si>
    <t>Sunk Cost</t>
  </si>
  <si>
    <t>Avoidable Cost</t>
  </si>
  <si>
    <t>Cost of Sales</t>
  </si>
  <si>
    <t>Operating Expenses</t>
  </si>
  <si>
    <t>&lt;blank&gt;</t>
  </si>
  <si>
    <t>Personnel</t>
  </si>
  <si>
    <t>Note 1</t>
  </si>
  <si>
    <t>Sunk Cost? If the Television Department were to be discontinued, these personnel costs would not be eliminated. Instead, they would likely continue because they support other departments, or they would be reallocated across the remaining departments</t>
  </si>
  <si>
    <t>Dept Managers Office</t>
  </si>
  <si>
    <t>Sunk Cost? No. This is an ongoing operating expense, not a cost that has already been incurred and cannot be changed by a future decision.  
Avoidable Cost? No. Noncancelable leases represent an unavoidable cost in the short run, as the company is obligated to pay them regardless of whether one department is closed. This cost would not be eliminated by dropping the Television Department</t>
  </si>
  <si>
    <t>Rent</t>
  </si>
  <si>
    <t>Note 2</t>
  </si>
  <si>
    <t>Sunk Cost? No. Rent is a recurring operating expense, not a past, unrecoverable cost.
Avoidable Cost? No. Similar to the Department Manager's Office, Note 2 states that "Rent" is "allocated to departments on the basis of square footage utilized" and is part of a "five-year noncancelable lease for the facilities". Since the lease is noncancelable, the rent payments are an unavoidable cost for the company and would continue even if the Television Department is eliminated</t>
  </si>
  <si>
    <t>Avoidable</t>
  </si>
  <si>
    <t>Inventory, taxes &amp; Insurance</t>
  </si>
  <si>
    <t>Sunk Cost? No. This is an ongoing cost related to current operations and inventory, not a past cost.
Avoidable Cost? Yes. Note 3 states this category includes "property taxes and insurance on inventory". If the Television Department is discontinued, the associated inventory would be liquidated or no longer held, and therefore, the specific property taxes and insurance costs tied to that inventory would be eliminated. An avoidable cost is precisely one that "can be eliminated (in whole or in part) by choosing one alternative over another"</t>
  </si>
  <si>
    <t>Utilities</t>
  </si>
  <si>
    <t>Note 3</t>
  </si>
  <si>
    <t>Sunk Cost? No. Utility costs are recurring expenses for current and future operations.
Avoidable Cost? No. Note 3 indicates that "Utilities" are "warehouse-related costs that are not directly tied to merchandise" and implies they serve "all departments" (similar phrasing to Note 1 regarding personnel). This suggests they are general operating expenses for the entire facility.</t>
  </si>
  <si>
    <t>Delivery Cost</t>
  </si>
  <si>
    <t>Note 4</t>
  </si>
  <si>
    <t>Sunk Cost? No. Delivery costs are ongoing expenses for shipping goods.
Avoidable Cost? No. Note 4 specifies that a "delivery from IDI to a retail store typically included merchandise from all three lines". This indicates that deliveries are consolidated for efficiency across all product lines.</t>
  </si>
  <si>
    <t>Sales Commission</t>
  </si>
  <si>
    <t>Note 5</t>
  </si>
  <si>
    <t>Sunk Cost? No. Sales commissions are variable costs directly tied to sales, not past expenditures.
Avoidable Cost? Yes. Note 5 states that "Salespersons were paid on a straight commission basis; each one sold all three lines". Commissions are a classic example of a variable cost that is directly tied to the level of activity (sales). If the Television Department generates no sales, no commissions for that department's products would be paid. An avoidable cost "can be eliminated (in whole or in part) by choosing one alternative over another"</t>
  </si>
  <si>
    <t>Administrative Costs</t>
  </si>
  <si>
    <t>Note 6</t>
  </si>
  <si>
    <t>Sunk Cost? No. Administrative costs are ongoing operational expenses.
Avoidable Cost? No. Note 6 states that these costs represent the Television Department's "distribution of the management group". This phrasing strongly suggests that these are allocated common costs representing general corporate overhead that benefits the entire company</t>
  </si>
  <si>
    <t>Inventory financing charge</t>
  </si>
  <si>
    <t>Note 7</t>
  </si>
  <si>
    <t>Sunk Cost? No. This is an ongoing internal charge based on average inventory, not a past, non-recoverable expense.
Avoidable Cost? Yes. Note 7 describes this as an "accounting entry assessed on average inventory". This charge is directly linked to the level of inventory held by the Television Department. If the department is discontinued and its inventory is eliminated, this specific charge would also be eliminated</t>
  </si>
  <si>
    <t>Profit Before Taxes</t>
  </si>
  <si>
    <t>What is this?</t>
  </si>
  <si>
    <t>Income taxes (credit)</t>
  </si>
  <si>
    <t>Net Income</t>
  </si>
  <si>
    <t>Compare the contribution margin of the segment/product with its avoidable fixed costs. If the contribution margin lost by discontinuing is less than the avoidable fixed costs saved, it may be beneficial to discontinue.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</si>
</sst>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sz val="11.0"/>
      <color theme="1"/>
      <name val="Calibri"/>
    </font>
    <font>
      <b/>
      <sz val="11.0"/>
      <color theme="1"/>
      <name val="Calibri"/>
    </font>
  </fonts>
  <fills count="4">
    <fill>
      <patternFill patternType="none"/>
    </fill>
    <fill>
      <patternFill patternType="lightGray"/>
    </fill>
    <fill>
      <patternFill patternType="solid">
        <fgColor rgb="FFF7CAAC"/>
        <bgColor rgb="FFF7CAAC"/>
      </patternFill>
    </fill>
    <fill>
      <patternFill patternType="solid">
        <fgColor rgb="FFFFFF00"/>
        <bgColor rgb="FFFFFF00"/>
      </patternFill>
    </fill>
  </fills>
  <borders count="3">
    <border/>
    <border>
      <bottom style="thin">
        <color rgb="FF000000"/>
      </bottom>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37" xfId="0" applyFont="1" applyNumberFormat="1"/>
    <xf borderId="0" fillId="0" fontId="3" numFmtId="0" xfId="0" applyFont="1"/>
    <xf borderId="1" fillId="0" fontId="2" numFmtId="37" xfId="0" applyBorder="1" applyFont="1" applyNumberFormat="1"/>
    <xf borderId="0" fillId="0" fontId="1" numFmtId="0" xfId="0" applyAlignment="1" applyFont="1">
      <alignment readingOrder="0"/>
    </xf>
    <xf borderId="2" fillId="2" fontId="2" numFmtId="0" xfId="0" applyAlignment="1" applyBorder="1" applyFill="1" applyFont="1">
      <alignment readingOrder="0"/>
    </xf>
    <xf borderId="0" fillId="0" fontId="1" numFmtId="0" xfId="0" applyAlignment="1" applyFont="1">
      <alignment readingOrder="0" shrinkToFit="0" wrapText="1"/>
    </xf>
    <xf borderId="2" fillId="3" fontId="2" numFmtId="37" xfId="0" applyBorder="1" applyFill="1" applyFont="1" applyNumberFormat="1"/>
    <xf borderId="0" fillId="0" fontId="1" numFmtId="3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14"/>
    <col customWidth="1" min="3" max="3" width="8.71"/>
    <col customWidth="1" min="4" max="4" width="10.71"/>
    <col customWidth="1" min="5" max="6" width="8.71"/>
    <col customWidth="1" min="7" max="7" width="9.57"/>
    <col customWidth="1" min="8" max="8" width="14.0"/>
    <col customWidth="1" min="9" max="10" width="8.71"/>
    <col customWidth="1" min="11" max="11" width="79.0"/>
    <col customWidth="1" min="12" max="26" width="8.71"/>
  </cols>
  <sheetData>
    <row r="1">
      <c r="E1" s="1" t="s">
        <v>0</v>
      </c>
    </row>
    <row r="2">
      <c r="B2" s="1" t="s">
        <v>1</v>
      </c>
      <c r="D2" s="2">
        <v>1612403.0</v>
      </c>
      <c r="G2" s="3" t="s">
        <v>2</v>
      </c>
      <c r="H2" s="3" t="s">
        <v>3</v>
      </c>
    </row>
    <row r="3">
      <c r="B3" s="1" t="s">
        <v>4</v>
      </c>
      <c r="D3" s="4">
        <v>1422473.0</v>
      </c>
    </row>
    <row r="4">
      <c r="D4" s="2">
        <f>D2-D3</f>
        <v>189930</v>
      </c>
      <c r="E4" s="2">
        <v>0.0</v>
      </c>
      <c r="G4" s="2"/>
    </row>
    <row r="5">
      <c r="B5" s="5" t="s">
        <v>5</v>
      </c>
      <c r="D5" s="2"/>
      <c r="G5" s="2"/>
    </row>
    <row r="6">
      <c r="A6" s="6" t="s">
        <v>6</v>
      </c>
      <c r="B6" s="1" t="s">
        <v>7</v>
      </c>
      <c r="C6" s="1" t="s">
        <v>8</v>
      </c>
      <c r="D6" s="2">
        <v>10140.0</v>
      </c>
      <c r="E6" s="2">
        <f t="shared" ref="E6:E14" si="1">G6</f>
        <v>0</v>
      </c>
      <c r="G6" s="2">
        <f t="shared" ref="G6:G14" si="2">IF(A6="Sunk",D6,0)</f>
        <v>0</v>
      </c>
      <c r="H6" s="2">
        <f t="shared" ref="H6:H14" si="3">IF(A6="Avoidable",D6,0)</f>
        <v>0</v>
      </c>
      <c r="K6" s="7" t="s">
        <v>9</v>
      </c>
    </row>
    <row r="7">
      <c r="A7" s="6" t="s">
        <v>6</v>
      </c>
      <c r="B7" s="1" t="s">
        <v>10</v>
      </c>
      <c r="D7" s="2">
        <v>12393.0</v>
      </c>
      <c r="E7" s="2">
        <f t="shared" si="1"/>
        <v>0</v>
      </c>
      <c r="G7" s="2">
        <f t="shared" si="2"/>
        <v>0</v>
      </c>
      <c r="H7" s="2">
        <f t="shared" si="3"/>
        <v>0</v>
      </c>
      <c r="K7" s="7" t="s">
        <v>11</v>
      </c>
    </row>
    <row r="8">
      <c r="A8" s="6" t="s">
        <v>6</v>
      </c>
      <c r="B8" s="1" t="s">
        <v>12</v>
      </c>
      <c r="C8" s="1" t="s">
        <v>13</v>
      </c>
      <c r="D8" s="2">
        <v>50107.0</v>
      </c>
      <c r="E8" s="2">
        <f t="shared" si="1"/>
        <v>0</v>
      </c>
      <c r="G8" s="2">
        <f t="shared" si="2"/>
        <v>0</v>
      </c>
      <c r="H8" s="2">
        <f t="shared" si="3"/>
        <v>0</v>
      </c>
      <c r="K8" s="7" t="s">
        <v>14</v>
      </c>
    </row>
    <row r="9">
      <c r="A9" s="6" t="s">
        <v>15</v>
      </c>
      <c r="B9" s="1" t="s">
        <v>16</v>
      </c>
      <c r="D9" s="2">
        <v>37274.0</v>
      </c>
      <c r="E9" s="2">
        <f t="shared" si="1"/>
        <v>0</v>
      </c>
      <c r="G9" s="2">
        <f t="shared" si="2"/>
        <v>0</v>
      </c>
      <c r="H9" s="2">
        <f t="shared" si="3"/>
        <v>37274</v>
      </c>
      <c r="K9" s="7" t="s">
        <v>17</v>
      </c>
    </row>
    <row r="10">
      <c r="A10" s="6" t="s">
        <v>6</v>
      </c>
      <c r="B10" s="1" t="s">
        <v>18</v>
      </c>
      <c r="C10" s="1" t="s">
        <v>19</v>
      </c>
      <c r="D10" s="2">
        <v>3006.0</v>
      </c>
      <c r="E10" s="2">
        <f t="shared" si="1"/>
        <v>0</v>
      </c>
      <c r="G10" s="2">
        <f t="shared" si="2"/>
        <v>0</v>
      </c>
      <c r="H10" s="2">
        <f t="shared" si="3"/>
        <v>0</v>
      </c>
      <c r="K10" s="7" t="s">
        <v>20</v>
      </c>
    </row>
    <row r="11">
      <c r="A11" s="6" t="s">
        <v>6</v>
      </c>
      <c r="B11" s="1" t="s">
        <v>21</v>
      </c>
      <c r="C11" s="1" t="s">
        <v>22</v>
      </c>
      <c r="D11" s="2">
        <v>32248.0</v>
      </c>
      <c r="E11" s="2">
        <f t="shared" si="1"/>
        <v>0</v>
      </c>
      <c r="G11" s="2">
        <f t="shared" si="2"/>
        <v>0</v>
      </c>
      <c r="H11" s="2">
        <f t="shared" si="3"/>
        <v>0</v>
      </c>
      <c r="K11" s="7" t="s">
        <v>23</v>
      </c>
    </row>
    <row r="12">
      <c r="A12" s="6" t="s">
        <v>15</v>
      </c>
      <c r="B12" s="1" t="s">
        <v>24</v>
      </c>
      <c r="C12" s="1" t="s">
        <v>25</v>
      </c>
      <c r="D12" s="2">
        <v>80621.0</v>
      </c>
      <c r="E12" s="2">
        <f t="shared" si="1"/>
        <v>0</v>
      </c>
      <c r="G12" s="2">
        <f t="shared" si="2"/>
        <v>0</v>
      </c>
      <c r="H12" s="2">
        <f t="shared" si="3"/>
        <v>80621</v>
      </c>
      <c r="K12" s="7" t="s">
        <v>26</v>
      </c>
    </row>
    <row r="13">
      <c r="A13" s="6" t="s">
        <v>6</v>
      </c>
      <c r="B13" s="1" t="s">
        <v>27</v>
      </c>
      <c r="C13" s="1" t="s">
        <v>28</v>
      </c>
      <c r="D13" s="2">
        <v>40310.0</v>
      </c>
      <c r="E13" s="2">
        <f t="shared" si="1"/>
        <v>0</v>
      </c>
      <c r="G13" s="2">
        <f t="shared" si="2"/>
        <v>0</v>
      </c>
      <c r="H13" s="2">
        <f t="shared" si="3"/>
        <v>0</v>
      </c>
      <c r="K13" s="7" t="s">
        <v>29</v>
      </c>
    </row>
    <row r="14">
      <c r="A14" s="6" t="s">
        <v>15</v>
      </c>
      <c r="B14" s="1" t="s">
        <v>30</v>
      </c>
      <c r="C14" s="1" t="s">
        <v>31</v>
      </c>
      <c r="D14" s="4">
        <v>23708.0</v>
      </c>
      <c r="E14" s="4">
        <f t="shared" si="1"/>
        <v>0</v>
      </c>
      <c r="G14" s="4">
        <f t="shared" si="2"/>
        <v>0</v>
      </c>
      <c r="H14" s="4">
        <f t="shared" si="3"/>
        <v>23708</v>
      </c>
      <c r="K14" s="7" t="s">
        <v>32</v>
      </c>
    </row>
    <row r="15">
      <c r="D15" s="2">
        <f t="shared" ref="D15:E15" si="4">SUM(D6:D14)</f>
        <v>289807</v>
      </c>
      <c r="E15" s="2">
        <f t="shared" si="4"/>
        <v>0</v>
      </c>
      <c r="G15" s="2">
        <f t="shared" ref="G15:H15" si="5">SUM(G6:G14)</f>
        <v>0</v>
      </c>
      <c r="H15" s="2">
        <f t="shared" si="5"/>
        <v>141603</v>
      </c>
    </row>
    <row r="16">
      <c r="D16" s="2"/>
      <c r="E16" s="2"/>
      <c r="G16" s="2"/>
      <c r="H16" s="2"/>
    </row>
    <row r="17">
      <c r="B17" s="1" t="s">
        <v>33</v>
      </c>
      <c r="D17" s="8">
        <f t="shared" ref="D17:E17" si="6">D4-D15</f>
        <v>-99877</v>
      </c>
      <c r="E17" s="2">
        <f t="shared" si="6"/>
        <v>0</v>
      </c>
      <c r="F17" s="2"/>
      <c r="G17" s="2"/>
      <c r="H17" s="2">
        <f>D4-H15</f>
        <v>48327</v>
      </c>
      <c r="I17" s="3" t="s">
        <v>34</v>
      </c>
    </row>
    <row r="18">
      <c r="D18" s="2"/>
    </row>
    <row r="19">
      <c r="B19" s="1" t="s">
        <v>35</v>
      </c>
      <c r="D19" s="2">
        <f>ROUND(D17*0.35,0)</f>
        <v>-34957</v>
      </c>
    </row>
    <row r="20">
      <c r="D20" s="2"/>
    </row>
    <row r="21" ht="15.75" customHeight="1">
      <c r="B21" s="1" t="s">
        <v>36</v>
      </c>
      <c r="D21" s="2">
        <f>D4-D15-D19</f>
        <v>-64920</v>
      </c>
    </row>
    <row r="22" ht="15.75" customHeight="1"/>
    <row r="23" ht="15.75" customHeight="1">
      <c r="B23" s="7" t="s">
        <v>37</v>
      </c>
      <c r="H23" s="9">
        <f>D4-D15</f>
        <v>-99877</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A6:A14">
      <formula1>"&lt;blank&gt;,Sunk,Avoidable"</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2022-09-12T00:23:22Z</dcterms:created>
  <dc:creator>Vishwanathan Iyer</dc:creator>
</cp:coreProperties>
</file>