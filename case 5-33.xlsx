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chra\Downloads\"/>
    </mc:Choice>
  </mc:AlternateContent>
  <xr:revisionPtr revIDLastSave="0" documentId="13_ncr:1_{1444E58C-C72D-4568-9566-3066A1C939A5}" xr6:coauthVersionLast="47" xr6:coauthVersionMax="47" xr10:uidLastSave="{00000000-0000-0000-0000-000000000000}"/>
  <bookViews>
    <workbookView xWindow="-120" yWindow="-120" windowWidth="29040" windowHeight="15720" xr2:uid="{ECC1BA16-7FEF-4AD2-9D28-E334BF04C20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2" i="1" l="1"/>
  <c r="Q13" i="1" l="1"/>
  <c r="Q24" i="1" s="1"/>
  <c r="Q26" i="1" s="1"/>
  <c r="E48" i="1"/>
  <c r="E47" i="1"/>
  <c r="E46" i="1"/>
  <c r="E45" i="1"/>
  <c r="H41" i="1"/>
  <c r="G43" i="1"/>
  <c r="F42" i="1"/>
  <c r="F40" i="1"/>
  <c r="F43" i="1" s="1"/>
  <c r="E43" i="1"/>
  <c r="E42" i="1"/>
  <c r="F41" i="1"/>
  <c r="E41" i="1"/>
  <c r="E40" i="1"/>
  <c r="G38" i="1"/>
  <c r="F38" i="1"/>
  <c r="N26" i="1"/>
  <c r="K26" i="1"/>
  <c r="E38" i="1"/>
  <c r="F32" i="1"/>
  <c r="E31" i="1"/>
  <c r="F31" i="1"/>
  <c r="N25" i="1"/>
  <c r="Q16" i="1"/>
  <c r="P16" i="1"/>
  <c r="P15" i="1"/>
  <c r="N13" i="1"/>
  <c r="K16" i="1"/>
  <c r="K24" i="1" s="1"/>
  <c r="J20" i="1"/>
  <c r="K21" i="1" s="1"/>
  <c r="J19" i="1"/>
  <c r="J18" i="1"/>
  <c r="J16" i="1"/>
  <c r="J15" i="1"/>
  <c r="M15" i="1" s="1"/>
  <c r="N16" i="1" s="1"/>
  <c r="F24" i="1"/>
  <c r="F27" i="1" s="1"/>
  <c r="J6" i="1"/>
  <c r="K6" i="1" s="1"/>
  <c r="I6" i="1"/>
  <c r="M16" i="1" s="1"/>
  <c r="H6" i="1"/>
  <c r="F14" i="1"/>
  <c r="F9" i="1"/>
  <c r="F10" i="1" s="1"/>
  <c r="F15" i="1" s="1"/>
  <c r="F17" i="1" s="1"/>
  <c r="Q25" i="1" l="1"/>
  <c r="G31" i="1" s="1"/>
  <c r="G32" i="1" s="1"/>
  <c r="N24" i="1"/>
  <c r="K25" i="1"/>
  <c r="F18" i="1"/>
  <c r="F19" i="1" s="1"/>
  <c r="E32" i="1"/>
  <c r="N21" i="1"/>
  <c r="K22" i="1"/>
  <c r="N22" i="1" l="1"/>
  <c r="Q21" i="1"/>
  <c r="Q22" i="1" s="1"/>
</calcChain>
</file>

<file path=xl/sharedStrings.xml><?xml version="1.0" encoding="utf-8"?>
<sst xmlns="http://schemas.openxmlformats.org/spreadsheetml/2006/main" count="74" uniqueCount="61">
  <si>
    <t>Case 5-33</t>
  </si>
  <si>
    <t>Cost structure Breakeven and Target Profit Analysis</t>
  </si>
  <si>
    <t>Pittman Company</t>
  </si>
  <si>
    <t>Relies on independent sales agents to market its product</t>
  </si>
  <si>
    <t>Sales</t>
  </si>
  <si>
    <t>Mfg expenses:</t>
  </si>
  <si>
    <t>Fixed OH</t>
  </si>
  <si>
    <t>Variable</t>
  </si>
  <si>
    <t>Gross margin</t>
  </si>
  <si>
    <t>Selling and admin expenses:</t>
  </si>
  <si>
    <t>Commission to agents</t>
  </si>
  <si>
    <t>Fixed mkt expenses</t>
  </si>
  <si>
    <t>Fixed admin expenses</t>
  </si>
  <si>
    <t>Net operating income</t>
  </si>
  <si>
    <t>Fixed interest expense</t>
  </si>
  <si>
    <t>PBT</t>
  </si>
  <si>
    <t>Income taxes (30%)</t>
  </si>
  <si>
    <t>PAT</t>
  </si>
  <si>
    <t>15% comm</t>
  </si>
  <si>
    <t>7.5% comm</t>
  </si>
  <si>
    <t>20% comm</t>
  </si>
  <si>
    <t xml:space="preserve">7.5% comm + all promotional cost + fixed expense increase by 2400000 </t>
  </si>
  <si>
    <t>comm + fixed cost</t>
  </si>
  <si>
    <t>Sales manager</t>
  </si>
  <si>
    <t>Salespersons</t>
  </si>
  <si>
    <t>Travel and entertainment</t>
  </si>
  <si>
    <t>Advertising</t>
  </si>
  <si>
    <t>Total</t>
  </si>
  <si>
    <t>Salaries:</t>
  </si>
  <si>
    <t>saving</t>
  </si>
  <si>
    <t>Variable cost</t>
  </si>
  <si>
    <t>Mfg</t>
  </si>
  <si>
    <t>Fixed cost</t>
  </si>
  <si>
    <t>Fixed mkt</t>
  </si>
  <si>
    <t>Fixed admin</t>
  </si>
  <si>
    <t xml:space="preserve">payment to auditors </t>
  </si>
  <si>
    <t>Total cost</t>
  </si>
  <si>
    <t>Contribution</t>
  </si>
  <si>
    <t>CMR</t>
  </si>
  <si>
    <t>BEP (dollars)</t>
  </si>
  <si>
    <t xml:space="preserve">Comm </t>
  </si>
  <si>
    <t>In house sales team</t>
  </si>
  <si>
    <t>`-75000 for auditors, +2400000 for fixed cost increase</t>
  </si>
  <si>
    <t xml:space="preserve">in house </t>
  </si>
  <si>
    <t>sales at which net income will be equal</t>
  </si>
  <si>
    <t>Budgeted profit</t>
  </si>
  <si>
    <t>Op profit</t>
  </si>
  <si>
    <t>diff</t>
  </si>
  <si>
    <t>comm</t>
  </si>
  <si>
    <t>Comm</t>
  </si>
  <si>
    <t>other expense</t>
  </si>
  <si>
    <t>op profit</t>
  </si>
  <si>
    <t>so if sales is</t>
  </si>
  <si>
    <t>other exp</t>
  </si>
  <si>
    <t>sales*0.8</t>
  </si>
  <si>
    <t>same in both case</t>
  </si>
  <si>
    <t>inhouse</t>
  </si>
  <si>
    <t>to find sales where net income equal for 20% and inhouse</t>
  </si>
  <si>
    <t>let net income = x</t>
  </si>
  <si>
    <t>sales - comm(20%) - other expense = x</t>
  </si>
  <si>
    <t>sales - mfg(FC + VC) =x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</si>
</sst>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00_ ;_ * \-#,##0.000_ ;_ * &quot;-&quot;?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43" fontId="0" fillId="0" borderId="0" xfId="1" applyFont="1"/>
    <xf numFmtId="43" fontId="0" fillId="0" borderId="0" xfId="0" applyNumberFormat="1"/>
    <xf numFmtId="0" fontId="2" fillId="0" borderId="0" xfId="0" applyFont="1"/>
    <xf numFmtId="43" fontId="2" fillId="0" borderId="0" xfId="1" applyFont="1"/>
    <xf numFmtId="43" fontId="2" fillId="0" borderId="0" xfId="0" applyNumberFormat="1" applyFont="1"/>
    <xf numFmtId="43" fontId="0" fillId="0" borderId="1" xfId="1" applyFont="1" applyBorder="1"/>
    <xf numFmtId="43" fontId="0" fillId="0" borderId="1" xfId="0" applyNumberFormat="1" applyBorder="1"/>
    <xf numFmtId="164" fontId="0" fillId="0" borderId="0" xfId="0" applyNumberFormat="1"/>
    <xf numFmtId="43" fontId="0" fillId="0" borderId="0" xfId="1" applyFont="1" applyBorder="1"/>
    <xf numFmtId="9" fontId="0" fillId="0" borderId="0" xfId="2" applyFont="1"/>
    <xf numFmtId="9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E33C6-CED4-498D-AEAB-1A636D5628B3}">
  <dimension ref="A1:S57"/>
  <sheetViews>
    <sheetView tabSelected="1" workbookViewId="0">
      <selection activeCell="S33" sqref="S33"/>
    </sheetView>
  </sheetViews>
  <sheetFormatPr defaultRowHeight="15" x14ac:dyDescent="0.25"/>
  <cols>
    <col min="3" max="3" width="5" customWidth="1"/>
    <col min="4" max="4" width="23.7109375" customWidth="1"/>
    <col min="5" max="5" width="15" bestFit="1" customWidth="1"/>
    <col min="6" max="8" width="14.28515625" bestFit="1" customWidth="1"/>
    <col min="9" max="9" width="12.5703125" bestFit="1" customWidth="1"/>
    <col min="10" max="10" width="13.7109375" bestFit="1" customWidth="1"/>
    <col min="11" max="11" width="16.85546875" bestFit="1" customWidth="1"/>
    <col min="12" max="12" width="2.7109375" customWidth="1"/>
    <col min="13" max="13" width="12.5703125" bestFit="1" customWidth="1"/>
    <col min="14" max="14" width="14.28515625" bestFit="1" customWidth="1"/>
    <col min="15" max="15" width="3.140625" customWidth="1"/>
    <col min="16" max="16" width="12.5703125" bestFit="1" customWidth="1"/>
    <col min="17" max="17" width="14.28515625" bestFit="1" customWidth="1"/>
  </cols>
  <sheetData>
    <row r="1" spans="1:17" x14ac:dyDescent="0.25">
      <c r="A1" t="s">
        <v>0</v>
      </c>
      <c r="C1" t="s">
        <v>1</v>
      </c>
    </row>
    <row r="2" spans="1:17" x14ac:dyDescent="0.25">
      <c r="C2" t="s">
        <v>2</v>
      </c>
    </row>
    <row r="3" spans="1:17" x14ac:dyDescent="0.25">
      <c r="C3" t="s">
        <v>3</v>
      </c>
    </row>
    <row r="5" spans="1:17" x14ac:dyDescent="0.25">
      <c r="H5" t="s">
        <v>18</v>
      </c>
      <c r="I5" t="s">
        <v>20</v>
      </c>
      <c r="J5" t="s">
        <v>19</v>
      </c>
      <c r="K5" t="s">
        <v>22</v>
      </c>
    </row>
    <row r="6" spans="1:17" x14ac:dyDescent="0.25">
      <c r="C6" s="3" t="s">
        <v>4</v>
      </c>
      <c r="D6" s="3"/>
      <c r="E6" s="4"/>
      <c r="F6" s="4">
        <v>16000000</v>
      </c>
      <c r="H6" s="2">
        <f>F6*0.15</f>
        <v>2400000</v>
      </c>
      <c r="I6" s="2">
        <f>F6*0.2</f>
        <v>3200000</v>
      </c>
      <c r="J6" s="8">
        <f>F6*0.075</f>
        <v>1200000</v>
      </c>
      <c r="K6" s="8">
        <f>J6+2400000</f>
        <v>3600000</v>
      </c>
      <c r="M6" s="8"/>
    </row>
    <row r="7" spans="1:17" x14ac:dyDescent="0.25">
      <c r="C7" t="s">
        <v>5</v>
      </c>
      <c r="E7" s="1"/>
      <c r="F7" s="1"/>
    </row>
    <row r="8" spans="1:17" x14ac:dyDescent="0.25">
      <c r="D8" t="s">
        <v>7</v>
      </c>
      <c r="E8" s="1">
        <v>7200000</v>
      </c>
      <c r="F8" s="1"/>
      <c r="H8" t="s">
        <v>21</v>
      </c>
    </row>
    <row r="9" spans="1:17" x14ac:dyDescent="0.25">
      <c r="D9" t="s">
        <v>6</v>
      </c>
      <c r="E9" s="6">
        <v>2340000</v>
      </c>
      <c r="F9" s="6">
        <f>SUM(E8:E9)</f>
        <v>9540000</v>
      </c>
    </row>
    <row r="10" spans="1:17" x14ac:dyDescent="0.25">
      <c r="C10" s="3" t="s">
        <v>8</v>
      </c>
      <c r="D10" s="3"/>
      <c r="E10" s="4"/>
      <c r="F10" s="4">
        <f>F6-F9</f>
        <v>6460000</v>
      </c>
      <c r="H10" t="s">
        <v>35</v>
      </c>
      <c r="I10">
        <v>75000</v>
      </c>
      <c r="J10" t="s">
        <v>29</v>
      </c>
    </row>
    <row r="11" spans="1:17" x14ac:dyDescent="0.25">
      <c r="C11" t="s">
        <v>9</v>
      </c>
      <c r="E11" s="1"/>
      <c r="F11" s="1"/>
    </row>
    <row r="12" spans="1:17" x14ac:dyDescent="0.25">
      <c r="D12" t="s">
        <v>10</v>
      </c>
      <c r="E12" s="1">
        <v>2400000</v>
      </c>
      <c r="F12" s="1"/>
      <c r="J12" s="13" t="s">
        <v>18</v>
      </c>
      <c r="K12" s="13"/>
      <c r="L12" s="12"/>
      <c r="M12" s="13" t="s">
        <v>20</v>
      </c>
      <c r="N12" s="13"/>
      <c r="O12" s="12"/>
      <c r="P12" s="13" t="s">
        <v>41</v>
      </c>
      <c r="Q12" s="13"/>
    </row>
    <row r="13" spans="1:17" x14ac:dyDescent="0.25">
      <c r="D13" t="s">
        <v>11</v>
      </c>
      <c r="E13" s="1">
        <v>120000</v>
      </c>
      <c r="F13" s="1"/>
      <c r="H13" s="3" t="s">
        <v>4</v>
      </c>
      <c r="I13" s="3"/>
      <c r="J13" s="4"/>
      <c r="K13" s="4">
        <v>16000000</v>
      </c>
      <c r="N13" s="5">
        <f>K13</f>
        <v>16000000</v>
      </c>
      <c r="Q13" s="5">
        <f>N13</f>
        <v>16000000</v>
      </c>
    </row>
    <row r="14" spans="1:17" x14ac:dyDescent="0.25">
      <c r="D14" t="s">
        <v>12</v>
      </c>
      <c r="E14" s="6">
        <v>1800000</v>
      </c>
      <c r="F14" s="6">
        <f>SUM(E12:E14)</f>
        <v>4320000</v>
      </c>
      <c r="H14" t="s">
        <v>30</v>
      </c>
      <c r="J14" s="1"/>
      <c r="K14" s="1"/>
    </row>
    <row r="15" spans="1:17" x14ac:dyDescent="0.25">
      <c r="C15" s="3" t="s">
        <v>13</v>
      </c>
      <c r="D15" s="3"/>
      <c r="E15" s="4"/>
      <c r="F15" s="4">
        <f>F10-F14</f>
        <v>2140000</v>
      </c>
      <c r="I15" t="s">
        <v>31</v>
      </c>
      <c r="J15" s="9">
        <f>E8</f>
        <v>7200000</v>
      </c>
      <c r="K15" s="9"/>
      <c r="M15" s="2">
        <f>J15</f>
        <v>7200000</v>
      </c>
      <c r="P15" s="2">
        <f>J15</f>
        <v>7200000</v>
      </c>
    </row>
    <row r="16" spans="1:17" x14ac:dyDescent="0.25">
      <c r="C16" t="s">
        <v>14</v>
      </c>
      <c r="F16" s="6">
        <v>540000</v>
      </c>
      <c r="I16" t="s">
        <v>40</v>
      </c>
      <c r="J16" s="2">
        <f>E12</f>
        <v>2400000</v>
      </c>
      <c r="K16" s="2">
        <f>SUM(J15:J16)</f>
        <v>9600000</v>
      </c>
      <c r="M16" s="2">
        <f>I6</f>
        <v>3200000</v>
      </c>
      <c r="N16" s="2">
        <f>SUM(M15:M16)</f>
        <v>10400000</v>
      </c>
      <c r="P16" s="2">
        <f>0</f>
        <v>0</v>
      </c>
      <c r="Q16" s="2">
        <f>SUM(P15:P16)</f>
        <v>7200000</v>
      </c>
    </row>
    <row r="17" spans="2:19" x14ac:dyDescent="0.25">
      <c r="C17" s="3" t="s">
        <v>15</v>
      </c>
      <c r="D17" s="3"/>
      <c r="E17" s="3"/>
      <c r="F17" s="5">
        <f>F15-F16</f>
        <v>1600000</v>
      </c>
      <c r="H17" t="s">
        <v>32</v>
      </c>
    </row>
    <row r="18" spans="2:19" x14ac:dyDescent="0.25">
      <c r="C18" t="s">
        <v>16</v>
      </c>
      <c r="F18" s="7">
        <f>F17*0.3</f>
        <v>480000</v>
      </c>
      <c r="I18" t="s">
        <v>31</v>
      </c>
      <c r="J18" s="2">
        <f>E9</f>
        <v>2340000</v>
      </c>
      <c r="M18" s="2"/>
    </row>
    <row r="19" spans="2:19" x14ac:dyDescent="0.25">
      <c r="C19" s="3" t="s">
        <v>17</v>
      </c>
      <c r="D19" s="3"/>
      <c r="E19" s="3"/>
      <c r="F19" s="5">
        <f>F17-F18</f>
        <v>1120000</v>
      </c>
      <c r="I19" t="s">
        <v>33</v>
      </c>
      <c r="J19" s="2">
        <f>E13</f>
        <v>120000</v>
      </c>
      <c r="M19" s="2"/>
    </row>
    <row r="20" spans="2:19" x14ac:dyDescent="0.25">
      <c r="I20" t="s">
        <v>34</v>
      </c>
      <c r="J20" s="2">
        <f>E14</f>
        <v>1800000</v>
      </c>
      <c r="K20" s="2"/>
      <c r="M20" s="2"/>
    </row>
    <row r="21" spans="2:19" x14ac:dyDescent="0.25">
      <c r="J21" s="2"/>
      <c r="K21" s="7">
        <f>SUM(J18:J21)</f>
        <v>4260000</v>
      </c>
      <c r="M21" s="2"/>
      <c r="N21" s="7">
        <f>K21</f>
        <v>4260000</v>
      </c>
      <c r="Q21" s="7">
        <f>N21-75000+2400000</f>
        <v>6585000</v>
      </c>
      <c r="R21" t="s">
        <v>42</v>
      </c>
    </row>
    <row r="22" spans="2:19" x14ac:dyDescent="0.25">
      <c r="C22" t="s">
        <v>28</v>
      </c>
      <c r="E22" s="1"/>
      <c r="F22" s="1"/>
      <c r="H22" s="3" t="s">
        <v>36</v>
      </c>
      <c r="I22" s="3"/>
      <c r="J22" s="3"/>
      <c r="K22" s="5">
        <f>SUM(K16:K21)</f>
        <v>13860000</v>
      </c>
      <c r="N22" s="5">
        <f>SUM(N16:N21)</f>
        <v>14660000</v>
      </c>
      <c r="Q22" s="5">
        <f>SUM(Q16:Q21)</f>
        <v>13785000</v>
      </c>
    </row>
    <row r="23" spans="2:19" x14ac:dyDescent="0.25">
      <c r="D23" t="s">
        <v>23</v>
      </c>
      <c r="E23" s="1">
        <v>100000</v>
      </c>
      <c r="F23" s="1"/>
    </row>
    <row r="24" spans="2:19" x14ac:dyDescent="0.25">
      <c r="D24" t="s">
        <v>24</v>
      </c>
      <c r="E24" s="6">
        <v>600000</v>
      </c>
      <c r="F24" s="1">
        <f>SUM(E23:E24)</f>
        <v>700000</v>
      </c>
      <c r="H24" s="3" t="s">
        <v>37</v>
      </c>
      <c r="I24" s="3"/>
      <c r="J24" s="3"/>
      <c r="K24" s="5">
        <f>K13-K16</f>
        <v>6400000</v>
      </c>
      <c r="N24" s="5">
        <f>N13-N16</f>
        <v>5600000</v>
      </c>
      <c r="Q24" s="5">
        <f>Q13-Q16</f>
        <v>8800000</v>
      </c>
    </row>
    <row r="25" spans="2:19" x14ac:dyDescent="0.25">
      <c r="C25" t="s">
        <v>25</v>
      </c>
      <c r="E25" s="1"/>
      <c r="F25" s="1">
        <v>400000</v>
      </c>
      <c r="H25" t="s">
        <v>38</v>
      </c>
      <c r="K25" s="10">
        <f>K24/K13</f>
        <v>0.4</v>
      </c>
      <c r="N25" s="10">
        <f>N24/N13</f>
        <v>0.35</v>
      </c>
      <c r="Q25" s="10">
        <f>Q24/Q13</f>
        <v>0.55000000000000004</v>
      </c>
    </row>
    <row r="26" spans="2:19" x14ac:dyDescent="0.25">
      <c r="C26" t="s">
        <v>26</v>
      </c>
      <c r="E26" s="1"/>
      <c r="F26" s="6">
        <v>1300000</v>
      </c>
      <c r="H26" s="3" t="s">
        <v>46</v>
      </c>
      <c r="K26" s="2">
        <f>K24-K21</f>
        <v>2140000</v>
      </c>
      <c r="N26" s="2">
        <f>N24-N21</f>
        <v>1340000</v>
      </c>
      <c r="Q26" s="2">
        <f>Q24-Q21</f>
        <v>2215000</v>
      </c>
    </row>
    <row r="27" spans="2:19" x14ac:dyDescent="0.25">
      <c r="C27" s="3" t="s">
        <v>27</v>
      </c>
      <c r="D27" s="3"/>
      <c r="E27" s="4"/>
      <c r="F27" s="4">
        <f>SUM(F23:F26)</f>
        <v>2400000</v>
      </c>
    </row>
    <row r="30" spans="2:19" x14ac:dyDescent="0.25">
      <c r="B30">
        <v>1</v>
      </c>
      <c r="E30" t="s">
        <v>18</v>
      </c>
      <c r="F30" t="s">
        <v>20</v>
      </c>
      <c r="G30" t="s">
        <v>43</v>
      </c>
    </row>
    <row r="31" spans="2:19" x14ac:dyDescent="0.25">
      <c r="D31" t="s">
        <v>38</v>
      </c>
      <c r="E31" s="11">
        <f>K25</f>
        <v>0.4</v>
      </c>
      <c r="F31" s="11">
        <f>N25</f>
        <v>0.35</v>
      </c>
      <c r="G31" s="11">
        <f>Q25</f>
        <v>0.55000000000000004</v>
      </c>
    </row>
    <row r="32" spans="2:19" x14ac:dyDescent="0.25">
      <c r="D32" t="s">
        <v>39</v>
      </c>
      <c r="E32" s="2">
        <f>K21/E31</f>
        <v>10650000</v>
      </c>
      <c r="F32" s="2">
        <f>N21/F31</f>
        <v>12171428.571428573</v>
      </c>
      <c r="G32" s="2">
        <f>Q21/G31</f>
        <v>11972727.272727272</v>
      </c>
      <c r="S32">
        <f>48+24</f>
        <v>72</v>
      </c>
    </row>
    <row r="35" spans="2:8" x14ac:dyDescent="0.25">
      <c r="B35">
        <v>2</v>
      </c>
      <c r="D35" t="s">
        <v>44</v>
      </c>
    </row>
    <row r="37" spans="2:8" x14ac:dyDescent="0.25">
      <c r="E37" t="s">
        <v>18</v>
      </c>
      <c r="F37" t="s">
        <v>20</v>
      </c>
      <c r="G37" t="s">
        <v>47</v>
      </c>
    </row>
    <row r="38" spans="2:8" x14ac:dyDescent="0.25">
      <c r="D38" t="s">
        <v>45</v>
      </c>
      <c r="E38" s="2">
        <f>F15</f>
        <v>2140000</v>
      </c>
      <c r="F38" s="2">
        <f>N26</f>
        <v>1340000</v>
      </c>
      <c r="G38" s="2">
        <f>E38-F38</f>
        <v>800000</v>
      </c>
    </row>
    <row r="40" spans="2:8" x14ac:dyDescent="0.25">
      <c r="D40" t="s">
        <v>4</v>
      </c>
      <c r="E40" s="2">
        <f>F6</f>
        <v>16000000</v>
      </c>
      <c r="F40" s="2">
        <f>16000000</f>
        <v>16000000</v>
      </c>
      <c r="G40" t="s">
        <v>54</v>
      </c>
      <c r="H40" s="2"/>
    </row>
    <row r="41" spans="2:8" x14ac:dyDescent="0.25">
      <c r="D41" t="s">
        <v>49</v>
      </c>
      <c r="E41" s="2">
        <f>E40*0.15</f>
        <v>2400000</v>
      </c>
      <c r="F41" s="2">
        <f>F40*0.2</f>
        <v>3200000</v>
      </c>
      <c r="G41" s="1">
        <v>13600000</v>
      </c>
      <c r="H41" s="2">
        <f>G41/0.8</f>
        <v>17000000</v>
      </c>
    </row>
    <row r="42" spans="2:8" x14ac:dyDescent="0.25">
      <c r="D42" t="s">
        <v>50</v>
      </c>
      <c r="E42" s="2">
        <f>F9+SUM(E13:E14)</f>
        <v>11460000</v>
      </c>
      <c r="F42" s="2">
        <f>11460000</f>
        <v>11460000</v>
      </c>
      <c r="G42" s="1">
        <v>11460000</v>
      </c>
    </row>
    <row r="43" spans="2:8" x14ac:dyDescent="0.25">
      <c r="D43" t="s">
        <v>51</v>
      </c>
      <c r="E43" s="2">
        <f>E40-SUM(E41:E42)</f>
        <v>2140000</v>
      </c>
      <c r="F43" s="2">
        <f>F40-SUM(F41:F42)</f>
        <v>1340000</v>
      </c>
      <c r="G43" s="2">
        <f>G41-G42</f>
        <v>2140000</v>
      </c>
    </row>
    <row r="45" spans="2:8" x14ac:dyDescent="0.25">
      <c r="D45" t="s">
        <v>52</v>
      </c>
      <c r="E45" s="5">
        <f>H41</f>
        <v>17000000</v>
      </c>
    </row>
    <row r="46" spans="2:8" x14ac:dyDescent="0.25">
      <c r="D46" t="s">
        <v>48</v>
      </c>
      <c r="E46" s="2">
        <f>E45*0.2</f>
        <v>3400000</v>
      </c>
    </row>
    <row r="47" spans="2:8" x14ac:dyDescent="0.25">
      <c r="D47" t="s">
        <v>53</v>
      </c>
      <c r="E47" s="2">
        <f>E42</f>
        <v>11460000</v>
      </c>
    </row>
    <row r="48" spans="2:8" x14ac:dyDescent="0.25">
      <c r="D48" t="s">
        <v>51</v>
      </c>
      <c r="E48" s="2">
        <f>E45-SUM(E46:E47)</f>
        <v>2140000</v>
      </c>
      <c r="F48" t="s">
        <v>55</v>
      </c>
    </row>
    <row r="50" spans="2:6" x14ac:dyDescent="0.25">
      <c r="B50">
        <v>3</v>
      </c>
      <c r="D50" t="s">
        <v>57</v>
      </c>
    </row>
    <row r="51" spans="2:6" x14ac:dyDescent="0.25">
      <c r="E51" t="s">
        <v>20</v>
      </c>
      <c r="F51" t="s">
        <v>56</v>
      </c>
    </row>
    <row r="52" spans="2:6" x14ac:dyDescent="0.25">
      <c r="D52" t="s">
        <v>51</v>
      </c>
      <c r="E52" s="2">
        <v>1340000</v>
      </c>
      <c r="F52" s="2">
        <v>2215000</v>
      </c>
    </row>
    <row r="54" spans="2:6" x14ac:dyDescent="0.25">
      <c r="D54" t="s">
        <v>58</v>
      </c>
    </row>
    <row r="56" spans="2:6" x14ac:dyDescent="0.25">
      <c r="D56" t="s">
        <v>59</v>
      </c>
    </row>
    <row r="57" spans="2:6" x14ac:dyDescent="0.25">
      <c r="D57" t="s">
        <v>60</v>
      </c>
    </row>
  </sheetData>
  <mergeCells count="3">
    <mergeCell ref="M12:N12"/>
    <mergeCell ref="J12:K12"/>
    <mergeCell ref="P12:Q12"/>
  </mergeCells>
  <pageMargins left="0.7" right="0.7" top="0.75" bottom="0.75" header="0.3" footer="0.3"/>
  <ignoredErrors>
    <ignoredError sqref="F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17A0-FB25-4360-AB00-6B9C1FDDF04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Bijesh Singha</dc:creator>
  <cp:lastModifiedBy>Bijesh Singha</cp:lastModifiedBy>
  <dcterms:created xsi:type="dcterms:W3CDTF">2025-07-04T05:59:13Z</dcterms:created>
  <dcterms:modified xsi:type="dcterms:W3CDTF">2025-07-12T13:18:36Z</dcterms:modified>
</cp:coreProperties>
</file>