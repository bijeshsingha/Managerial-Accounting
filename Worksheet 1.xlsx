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70863B3-DEBC-4328-A47D-A4EA5B44925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ndamental Concepts" sheetId="4" r:id="rId1"/>
    <sheet name="Breakeven" sheetId="2" r:id="rId2"/>
    <sheet name="Addl analysis" sheetId="6" r:id="rId3"/>
    <sheet name="Mixed Cos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6" l="1"/>
  <c r="F37" i="6"/>
  <c r="D37" i="6"/>
  <c r="E36" i="6"/>
  <c r="F36" i="6"/>
  <c r="D36" i="6"/>
  <c r="E2" i="6"/>
  <c r="E33" i="6"/>
  <c r="D23" i="6"/>
  <c r="D22" i="6"/>
  <c r="D27" i="1"/>
  <c r="D26" i="1"/>
  <c r="D30" i="1" s="1"/>
  <c r="D25" i="1"/>
  <c r="F30" i="6"/>
  <c r="E30" i="6"/>
  <c r="M47" i="2"/>
  <c r="M50" i="2" s="1"/>
  <c r="J47" i="2"/>
  <c r="E49" i="2"/>
  <c r="G46" i="2"/>
  <c r="C47" i="2"/>
  <c r="C36" i="2"/>
  <c r="C33" i="2"/>
  <c r="E33" i="2" s="1"/>
  <c r="E35" i="2" s="1"/>
  <c r="D25" i="2"/>
  <c r="C51" i="2" s="1"/>
  <c r="C22" i="2"/>
  <c r="D22" i="2" s="1"/>
  <c r="C21" i="2"/>
  <c r="D20" i="2"/>
  <c r="G8" i="4"/>
  <c r="F8" i="4"/>
  <c r="F14" i="6"/>
  <c r="E14" i="6"/>
  <c r="D10" i="6"/>
  <c r="F10" i="6" s="1"/>
  <c r="E9" i="6"/>
  <c r="D8" i="6"/>
  <c r="E8" i="6" s="1"/>
  <c r="L5" i="6"/>
  <c r="F9" i="6" s="1"/>
  <c r="E4" i="6"/>
  <c r="D2" i="6"/>
  <c r="D3" i="6" s="1"/>
  <c r="R14" i="4"/>
  <c r="R13" i="4"/>
  <c r="R15" i="4" s="1"/>
  <c r="L10" i="4"/>
  <c r="I9" i="4"/>
  <c r="H9" i="4"/>
  <c r="G9" i="4"/>
  <c r="F9" i="4"/>
  <c r="S7" i="4"/>
  <c r="R7" i="4"/>
  <c r="E5" i="4"/>
  <c r="Q4" i="4"/>
  <c r="D4" i="4"/>
  <c r="D14" i="4" s="1"/>
  <c r="R3" i="4"/>
  <c r="R4" i="4" s="1"/>
  <c r="M16" i="4"/>
  <c r="E3" i="4"/>
  <c r="S2" i="4"/>
  <c r="S3" i="4" s="1"/>
  <c r="E2" i="4"/>
  <c r="D13" i="2"/>
  <c r="D9" i="2"/>
  <c r="M17" i="1"/>
  <c r="M19" i="1" s="1"/>
  <c r="L17" i="1"/>
  <c r="D9" i="1"/>
  <c r="D8" i="1"/>
  <c r="D10" i="1" s="1"/>
  <c r="D12" i="1" s="1"/>
  <c r="D13" i="1" s="1"/>
  <c r="D23" i="2" l="1"/>
  <c r="C48" i="2"/>
  <c r="C34" i="2"/>
  <c r="C39" i="2"/>
  <c r="C35" i="2"/>
  <c r="C38" i="2" s="1"/>
  <c r="C40" i="2" s="1"/>
  <c r="E40" i="2" s="1"/>
  <c r="E38" i="2"/>
  <c r="D39" i="6"/>
  <c r="F39" i="6"/>
  <c r="F49" i="2"/>
  <c r="J49" i="2" s="1"/>
  <c r="J54" i="2" s="1"/>
  <c r="C49" i="2"/>
  <c r="C53" i="2" s="1"/>
  <c r="D15" i="2"/>
  <c r="M46" i="2" s="1"/>
  <c r="M49" i="2" s="1"/>
  <c r="M51" i="2" s="1"/>
  <c r="E10" i="6"/>
  <c r="E11" i="6" s="1"/>
  <c r="E31" i="6" s="1"/>
  <c r="D4" i="6"/>
  <c r="D5" i="6" s="1"/>
  <c r="D11" i="6"/>
  <c r="F8" i="6"/>
  <c r="F11" i="6" s="1"/>
  <c r="F2" i="6"/>
  <c r="E3" i="6"/>
  <c r="E5" i="6" s="1"/>
  <c r="R6" i="4"/>
  <c r="R8" i="4" s="1"/>
  <c r="R9" i="4" s="1"/>
  <c r="R10" i="4" s="1"/>
  <c r="R11" i="4" s="1"/>
  <c r="E4" i="4"/>
  <c r="E6" i="4" s="1"/>
  <c r="M10" i="4"/>
  <c r="M11" i="4" s="1"/>
  <c r="M12" i="4" s="1"/>
  <c r="G10" i="4"/>
  <c r="S4" i="4"/>
  <c r="S6" i="4" s="1"/>
  <c r="M15" i="4"/>
  <c r="F10" i="4"/>
  <c r="H8" i="4"/>
  <c r="H10" i="4" s="1"/>
  <c r="I8" i="4"/>
  <c r="I10" i="4" s="1"/>
  <c r="D13" i="4"/>
  <c r="D15" i="4" s="1"/>
  <c r="E21" i="6" l="1"/>
  <c r="E26" i="6"/>
  <c r="F31" i="6"/>
  <c r="D13" i="6"/>
  <c r="D21" i="6"/>
  <c r="T4" i="4"/>
  <c r="M53" i="2"/>
  <c r="W3" i="4"/>
  <c r="G49" i="2"/>
  <c r="G53" i="2" s="1"/>
  <c r="G54" i="2" s="1"/>
  <c r="E13" i="6"/>
  <c r="E35" i="6" s="1"/>
  <c r="F3" i="6"/>
  <c r="F4" i="6"/>
  <c r="W2" i="4"/>
  <c r="S8" i="4"/>
  <c r="T6" i="4"/>
  <c r="F5" i="6" l="1"/>
  <c r="E23" i="6"/>
  <c r="E27" i="6" s="1"/>
  <c r="E22" i="6"/>
  <c r="F21" i="6"/>
  <c r="F13" i="6"/>
  <c r="W7" i="4"/>
  <c r="W8" i="4" s="1"/>
  <c r="W4" i="4"/>
  <c r="W10" i="4" s="1"/>
  <c r="D35" i="6"/>
  <c r="D15" i="6"/>
  <c r="D16" i="6" s="1"/>
  <c r="D17" i="6" s="1"/>
  <c r="E15" i="6"/>
  <c r="E16" i="6" s="1"/>
  <c r="E17" i="6" s="1"/>
  <c r="T8" i="4"/>
  <c r="S9" i="4"/>
  <c r="S10" i="4" s="1"/>
  <c r="F22" i="6" l="1"/>
  <c r="F23" i="6"/>
  <c r="F15" i="6"/>
  <c r="F16" i="6" s="1"/>
  <c r="F17" i="6" s="1"/>
  <c r="F35" i="6"/>
  <c r="E39" i="6"/>
  <c r="S11" i="4"/>
  <c r="T10" i="4"/>
</calcChain>
</file>

<file path=xl/sharedStrings.xml><?xml version="1.0" encoding="utf-8"?>
<sst xmlns="http://schemas.openxmlformats.org/spreadsheetml/2006/main" count="224" uniqueCount="201">
  <si>
    <t>Business Setting: Catering Company</t>
  </si>
  <si>
    <t>Maria Chavez owns a catering company that serves food &amp; beverages at parties and functions.</t>
  </si>
  <si>
    <t>Her rate for the standard cocktail party are:</t>
  </si>
  <si>
    <t>Food &amp; beverages</t>
  </si>
  <si>
    <t>Labor</t>
  </si>
  <si>
    <t>Monthly data of labor &amp; overheads</t>
  </si>
  <si>
    <t>Month</t>
  </si>
  <si>
    <t>Lab Hrs</t>
  </si>
  <si>
    <t>OH 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</si>
  <si>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</si>
  <si>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</si>
  <si>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</si>
  <si>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</si>
  <si>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</si>
  <si>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</si>
  <si>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</si>
  <si>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</si>
  <si>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</si>
  <si>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</si>
  <si>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</si>
  <si>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</si>
  <si>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</si>
  <si>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The standard cocktail party lasts three hours and Chavez hires one worker for every six guests.</t>
  </si>
  <si>
    <t>TOTAL COST</t>
  </si>
  <si>
    <t>Standard Price</t>
  </si>
  <si>
    <t>Rationale</t>
  </si>
  <si>
    <t>0.5 hrs @ 10/hr</t>
  </si>
  <si>
    <t>0.5 hrs @ 13.98/hr</t>
  </si>
  <si>
    <t>Overheads</t>
  </si>
  <si>
    <t>Std Markup (15%)</t>
  </si>
  <si>
    <t>Chavez received a request to bid on a 180-guest fundraising cocktail party lasting 3 hours.</t>
  </si>
  <si>
    <t>Being a prestigious event, she wants to win this contract badly.</t>
  </si>
  <si>
    <t>Questions for Analysis:</t>
  </si>
  <si>
    <t>Whats the lowest price that Chavez can bid?</t>
  </si>
  <si>
    <t>Based on her market intelligence, her competitors bid is likely to be around 25.50</t>
  </si>
  <si>
    <t>Would it make sense for Chavez to bid at 25.00?</t>
  </si>
  <si>
    <t>Unit Manufacturing Costs</t>
  </si>
  <si>
    <t>Variable Material</t>
  </si>
  <si>
    <t>Variable Labor</t>
  </si>
  <si>
    <t>Variable OH</t>
  </si>
  <si>
    <t>Fixed OH</t>
  </si>
  <si>
    <t>Total Unit Mfg Cost</t>
  </si>
  <si>
    <t>Unit Marketing Costs</t>
  </si>
  <si>
    <t>Variable</t>
  </si>
  <si>
    <t>Fixed</t>
  </si>
  <si>
    <t>Total Unit Mkt Cost</t>
  </si>
  <si>
    <t>TOTAL UNIT COST</t>
  </si>
  <si>
    <t>Normal Volume (units per month)</t>
  </si>
  <si>
    <t>Regular Selling Price</t>
  </si>
  <si>
    <t>Market Research suggests that a price cut by $ 500 will result in increased demand of 500 units</t>
  </si>
  <si>
    <t>What is the Break even point?</t>
  </si>
  <si>
    <t>Semi variable Cost</t>
  </si>
  <si>
    <t>Classification</t>
  </si>
  <si>
    <t>Sales</t>
  </si>
  <si>
    <t>Units</t>
  </si>
  <si>
    <t>Cost</t>
  </si>
  <si>
    <t>DOL</t>
  </si>
  <si>
    <t>Product &amp; Period</t>
  </si>
  <si>
    <t>VC</t>
  </si>
  <si>
    <t>DFL</t>
  </si>
  <si>
    <t>Fixed &amp; Variable</t>
  </si>
  <si>
    <t>Cont</t>
  </si>
  <si>
    <t>Direct &amp; Indirect</t>
  </si>
  <si>
    <t>FC</t>
  </si>
  <si>
    <t>Predicted change</t>
  </si>
  <si>
    <t>Op Profit</t>
  </si>
  <si>
    <t>Types of Cost</t>
  </si>
  <si>
    <t>Int</t>
  </si>
  <si>
    <t>PBT</t>
  </si>
  <si>
    <t>Full Cost</t>
  </si>
  <si>
    <t>Inc profit</t>
  </si>
  <si>
    <t>Opportunity Cost</t>
  </si>
  <si>
    <t>Inc units</t>
  </si>
  <si>
    <t>High-Low Method</t>
  </si>
  <si>
    <t>Tax</t>
  </si>
  <si>
    <t>Sunk Cost</t>
  </si>
  <si>
    <t>Profit pick up p.u</t>
  </si>
  <si>
    <t>PAT</t>
  </si>
  <si>
    <t>Differential Cost</t>
  </si>
  <si>
    <t>VC pu</t>
  </si>
  <si>
    <t>RoE</t>
  </si>
  <si>
    <t>Relevant Cost</t>
  </si>
  <si>
    <t>CM ratio</t>
  </si>
  <si>
    <t>Equity</t>
  </si>
  <si>
    <t>BEP units</t>
  </si>
  <si>
    <t>Regression</t>
  </si>
  <si>
    <t>Debt</t>
  </si>
  <si>
    <t>BEP $</t>
  </si>
  <si>
    <t>Captial Employed</t>
  </si>
  <si>
    <t>per unit</t>
  </si>
  <si>
    <t>Volume</t>
  </si>
  <si>
    <t>Would you recommend this course of action?</t>
  </si>
  <si>
    <t>Business Setting: Equipment Manufacturing</t>
  </si>
  <si>
    <t>Costs per Unit for Hydraulic Hoists (Hospital Supply, Inc.)</t>
  </si>
  <si>
    <t>Even without this order, Hospital Supply Inc is expected to operate at Full capacity of 4000 units</t>
  </si>
  <si>
    <t>Accepting this order would mean, diverting sales from its regular customer pool.</t>
  </si>
  <si>
    <t>A contract has been received from the Federal govt to supply 500 units to a Govt. hospital.</t>
  </si>
  <si>
    <t>Contract specifications: Govt is willing to reimburse the share of production cost with a fee of 2.75 Lakhs</t>
  </si>
  <si>
    <t>Note that there is no variable marketing costs required to be incurred for the govt order.</t>
  </si>
  <si>
    <t>Would you recommend accepting this order?</t>
  </si>
  <si>
    <t>DTL</t>
  </si>
  <si>
    <t>Existing</t>
  </si>
  <si>
    <t>Comm 20%</t>
  </si>
  <si>
    <t>Own Force</t>
  </si>
  <si>
    <t>Variable Mfg Cost</t>
  </si>
  <si>
    <t>Commission to Agents</t>
  </si>
  <si>
    <t>Contribution</t>
  </si>
  <si>
    <t>Manufacturing</t>
  </si>
  <si>
    <t>Marketing</t>
  </si>
  <si>
    <t>Admin</t>
  </si>
  <si>
    <t>Taxes 30%</t>
  </si>
  <si>
    <t>Operating Profit</t>
  </si>
  <si>
    <t>Interest expense</t>
  </si>
  <si>
    <t>Key facts:</t>
  </si>
  <si>
    <t>Currently the entire Sales function is outsourced to an Agency for a commission of 15%</t>
  </si>
  <si>
    <t>The Agency has demanded for a 20% commission going forward</t>
  </si>
  <si>
    <t>Should the company decide to have its own Sales force, variable pay shall be 7.5%</t>
  </si>
  <si>
    <t>Savings in QC &amp; Audit fee</t>
  </si>
  <si>
    <t>Fixed Pay &amp; Promotion exp</t>
  </si>
  <si>
    <t>TOTAL Fixed Cost</t>
  </si>
  <si>
    <t>Fixed Costs</t>
  </si>
  <si>
    <t>Questions for analysis</t>
  </si>
  <si>
    <t>What is the Break even point for each situaton?</t>
  </si>
  <si>
    <t>Determine required Sales to generate same Net Income should the Company agree to 20% commission</t>
  </si>
  <si>
    <t>Determine the Sales at which Net Income would be equal regardless of 20% comm or using Own force</t>
  </si>
  <si>
    <t>Estimate the Degree of Operating Leverage and Degree of Total Leverage</t>
  </si>
  <si>
    <t>Whats your overall recommendation?</t>
  </si>
  <si>
    <t>Target Contribution</t>
  </si>
  <si>
    <t>Profit</t>
  </si>
  <si>
    <t>BE Sales</t>
  </si>
  <si>
    <t>BEP (Units)</t>
  </si>
  <si>
    <t>BEP (Dollars)</t>
  </si>
  <si>
    <t>Margin of Safety</t>
  </si>
  <si>
    <t>Restating the Data for Analysis</t>
  </si>
  <si>
    <t>Selling Price</t>
  </si>
  <si>
    <t>Variable Costs</t>
  </si>
  <si>
    <t>Variable Costs (Mfg)</t>
  </si>
  <si>
    <t>Variable Costs (Mkt)</t>
  </si>
  <si>
    <t>Contribution per unit</t>
  </si>
  <si>
    <t>What is the impact of change in VC &amp; FC on BEP?</t>
  </si>
  <si>
    <t>How is M/S connected with Profitability?</t>
  </si>
  <si>
    <t>Current</t>
  </si>
  <si>
    <t>Proposed</t>
  </si>
  <si>
    <t>Diff</t>
  </si>
  <si>
    <t>Selling Price pu</t>
  </si>
  <si>
    <t>VC  pu</t>
  </si>
  <si>
    <t>Contribution pu</t>
  </si>
  <si>
    <t>Total Contribution</t>
  </si>
  <si>
    <t>Is the impact on Operating Profit -250,000?</t>
  </si>
  <si>
    <t>Total FC</t>
  </si>
  <si>
    <t>What is the revised BEP?</t>
  </si>
  <si>
    <t>BEP (units)</t>
  </si>
  <si>
    <t>BEP (dollar value)</t>
  </si>
  <si>
    <t>Evaluating the Fed Govt Offer</t>
  </si>
  <si>
    <t>No Gov offer</t>
  </si>
  <si>
    <t>Revenue</t>
  </si>
  <si>
    <t>TFC</t>
  </si>
  <si>
    <t>Accept Govt Offer</t>
  </si>
  <si>
    <t>Regular</t>
  </si>
  <si>
    <t>Govt Offer</t>
  </si>
  <si>
    <t>Total</t>
  </si>
  <si>
    <t>Differential Analysis</t>
  </si>
  <si>
    <t>No Gov Offer</t>
  </si>
  <si>
    <t>Reg Cont pu</t>
  </si>
  <si>
    <t>Profit pu</t>
  </si>
  <si>
    <t>Tot Cont</t>
  </si>
  <si>
    <t>Inc in units</t>
  </si>
  <si>
    <t>Cont Govt offer</t>
  </si>
  <si>
    <t>Inc in profit</t>
  </si>
  <si>
    <t>OH Over Ab</t>
  </si>
  <si>
    <t>Diff Profit</t>
  </si>
  <si>
    <t>Chg in Profit</t>
  </si>
  <si>
    <t>Difference</t>
  </si>
  <si>
    <t>Analysis</t>
  </si>
  <si>
    <t>Intercept</t>
  </si>
  <si>
    <t>Slope</t>
  </si>
  <si>
    <t>R-square</t>
  </si>
  <si>
    <t>V.OH at 180 guests</t>
  </si>
  <si>
    <t>Total VC</t>
  </si>
  <si>
    <t>Per unit</t>
  </si>
  <si>
    <t>For 180 Guests</t>
  </si>
  <si>
    <t>What is the overall BEP for the firm?</t>
  </si>
  <si>
    <t>[Lowest price per guest for this event]</t>
  </si>
  <si>
    <t>At $25, is it still profitable to go ahead with the event?</t>
  </si>
  <si>
    <t>Company's BE at various possibilities</t>
  </si>
  <si>
    <t>Comm at 20%</t>
  </si>
  <si>
    <t>Indifference Point between Comm @ 20% &amp; Own Force</t>
  </si>
  <si>
    <t>VC %</t>
  </si>
  <si>
    <t>Indifference Point</t>
  </si>
  <si>
    <t>Degree of Operating Leverage</t>
  </si>
  <si>
    <t>Degree of Financial Leverage</t>
  </si>
  <si>
    <t>Degree of Total Leverage</t>
  </si>
  <si>
    <t>CMR [aka PV Ratio]</t>
  </si>
  <si>
    <t>BE Sales [zero Total profit]</t>
  </si>
  <si>
    <t>BE Sales [zero Operating profit]</t>
  </si>
  <si>
    <t>TOTAL Op Fixed Cost</t>
  </si>
  <si>
    <t>Overall Recommendation</t>
  </si>
  <si>
    <t>concept check: What happens at Ind point?</t>
  </si>
  <si>
    <t>OP [EBIT]</t>
  </si>
  <si>
    <t>Margin of Safety (units)</t>
  </si>
  <si>
    <t>Margin of Safety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</si>
</sst>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0.0%"/>
    <numFmt numFmtId="167" formatCode="_(* #,##0_);_(* \(#,##0\);_(* &quot;-&quot;??_);_(@_)"/>
    <numFmt numFmtId="168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3" fontId="0" fillId="0" borderId="0" xfId="0" applyNumberFormat="1"/>
    <xf numFmtId="3" fontId="0" fillId="0" borderId="1" xfId="0" applyNumberFormat="1" applyBorder="1"/>
    <xf numFmtId="3" fontId="2" fillId="0" borderId="0" xfId="0" applyNumberFormat="1" applyFont="1"/>
    <xf numFmtId="2" fontId="2" fillId="0" borderId="0" xfId="0" applyNumberFormat="1" applyFont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10" fontId="0" fillId="0" borderId="0" xfId="2" applyNumberFormat="1" applyFont="1"/>
    <xf numFmtId="0" fontId="0" fillId="2" borderId="0" xfId="0" applyFill="1"/>
    <xf numFmtId="0" fontId="3" fillId="0" borderId="0" xfId="0" applyFont="1"/>
    <xf numFmtId="166" fontId="0" fillId="2" borderId="0" xfId="2" applyNumberFormat="1" applyFont="1" applyFill="1"/>
    <xf numFmtId="166" fontId="0" fillId="0" borderId="0" xfId="2" applyNumberFormat="1" applyFont="1"/>
    <xf numFmtId="167" fontId="0" fillId="0" borderId="0" xfId="1" applyNumberFormat="1" applyFont="1"/>
    <xf numFmtId="9" fontId="0" fillId="0" borderId="0" xfId="2" applyFont="1"/>
    <xf numFmtId="167" fontId="0" fillId="0" borderId="1" xfId="1" applyNumberFormat="1" applyFont="1" applyBorder="1"/>
    <xf numFmtId="167" fontId="0" fillId="0" borderId="0" xfId="0" applyNumberFormat="1"/>
    <xf numFmtId="167" fontId="0" fillId="0" borderId="1" xfId="0" applyNumberFormat="1" applyBorder="1"/>
    <xf numFmtId="0" fontId="0" fillId="3" borderId="0" xfId="0" applyFill="1"/>
    <xf numFmtId="167" fontId="0" fillId="3" borderId="0" xfId="1" applyNumberFormat="1" applyFont="1" applyFill="1"/>
    <xf numFmtId="167" fontId="0" fillId="3" borderId="1" xfId="1" applyNumberFormat="1" applyFont="1" applyFill="1" applyBorder="1"/>
    <xf numFmtId="10" fontId="0" fillId="3" borderId="0" xfId="0" applyNumberFormat="1" applyFill="1"/>
    <xf numFmtId="0" fontId="4" fillId="0" borderId="0" xfId="0" applyFont="1"/>
    <xf numFmtId="168" fontId="0" fillId="0" borderId="0" xfId="0" applyNumberFormat="1"/>
    <xf numFmtId="10" fontId="0" fillId="4" borderId="0" xfId="2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166" fontId="0" fillId="4" borderId="0" xfId="2" applyNumberFormat="1" applyFont="1" applyFill="1"/>
    <xf numFmtId="0" fontId="0" fillId="4" borderId="0" xfId="0" applyFill="1"/>
    <xf numFmtId="0" fontId="0" fillId="4" borderId="1" xfId="0" applyFill="1" applyBorder="1"/>
    <xf numFmtId="3" fontId="0" fillId="4" borderId="0" xfId="0" applyNumberFormat="1" applyFill="1"/>
    <xf numFmtId="3" fontId="0" fillId="4" borderId="1" xfId="0" applyNumberFormat="1" applyFill="1" applyBorder="1"/>
    <xf numFmtId="2" fontId="0" fillId="4" borderId="0" xfId="0" applyNumberFormat="1" applyFill="1"/>
    <xf numFmtId="2" fontId="0" fillId="4" borderId="1" xfId="0" applyNumberFormat="1" applyFill="1" applyBorder="1"/>
    <xf numFmtId="165" fontId="2" fillId="4" borderId="0" xfId="0" applyNumberFormat="1" applyFont="1" applyFill="1"/>
    <xf numFmtId="167" fontId="0" fillId="4" borderId="0" xfId="0" applyNumberFormat="1" applyFill="1"/>
    <xf numFmtId="164" fontId="0" fillId="4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Cost-Volume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'Fundamental Concepts'!$M$2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160542432195976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'Fundamental Concepts'!$L$3:$L$7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xVal>
          <c:yVal>
            <c:numRef>
              <c:f>'Fundamental Concepts'!$M$3:$M$7</c:f>
              <c:numCache>
                <c:formatCode>General</c:formatCode>
                <c:ptCount val="5"/>
                <c:pt idx="0">
                  <c:v>1200</c:v>
                </c:pt>
                <c:pt idx="1">
                  <c:v>1240</c:v>
                </c:pt>
                <c:pt idx="2">
                  <c:v>1280</c:v>
                </c:pt>
                <c:pt idx="3">
                  <c:v>1320</c:v>
                </c:pt>
                <c:pt idx="4">
                  <c:v>1360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7-47A9-B42A-88361F54E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528447"/>
        <c:axId val="2119520543"/>
      </c:scatterChart>
      <c:valAx>
        <c:axId val="21195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20543"/>
        <c:crosses val="autoZero"/>
        <c:crossBetween val="midCat"/>
      </c:valAx>
      <c:valAx>
        <c:axId val="21195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2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593482</xdr:colOff>
      <xdr:row>16</xdr:row>
      <xdr:rowOff>137747</xdr:rowOff>
    </xdr:from>
    <xdr:to>
      <xdr:col>18</xdr:col>
      <xdr:colOff>300405</xdr:colOff>
      <xdr:row>31</xdr:row>
      <xdr:rowOff>23447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zoomScale="130" zoomScaleNormal="130" workbookViewId="0"/>
  </sheetViews>
  <sheetFormatPr defaultRowHeight="15" x14ac:dyDescent="0.25"/>
  <cols>
    <col min="1" max="1" width="16.28515625" bestFit="1" customWidth="1"/>
    <col min="17" max="17" width="8" customWidth="1"/>
    <col min="18" max="18" width="9.85546875" customWidth="1"/>
  </cols>
  <sheetData>
    <row r="1" spans="1:23" x14ac:dyDescent="0.25">
      <c r="D1" t="s">
        <v>89</v>
      </c>
      <c r="E1" s="12">
        <v>0</v>
      </c>
      <c r="F1" s="12">
        <v>3500</v>
      </c>
      <c r="G1" s="12">
        <v>5000</v>
      </c>
      <c r="H1" s="12">
        <v>6200</v>
      </c>
      <c r="I1" s="12">
        <v>7300</v>
      </c>
      <c r="L1" s="12" t="s">
        <v>51</v>
      </c>
      <c r="S1" s="28">
        <v>0.05</v>
      </c>
    </row>
    <row r="2" spans="1:23" x14ac:dyDescent="0.25">
      <c r="A2" s="12" t="s">
        <v>52</v>
      </c>
      <c r="B2" s="12"/>
      <c r="C2" t="s">
        <v>53</v>
      </c>
      <c r="D2">
        <v>11</v>
      </c>
      <c r="E2">
        <f>E1*$D$2</f>
        <v>0</v>
      </c>
      <c r="L2" s="11" t="s">
        <v>54</v>
      </c>
      <c r="M2" s="11" t="s">
        <v>55</v>
      </c>
      <c r="P2" t="s">
        <v>53</v>
      </c>
      <c r="R2" s="3">
        <v>100000</v>
      </c>
      <c r="S2" s="3">
        <f>R2*(1+S1)</f>
        <v>105000</v>
      </c>
      <c r="V2" t="s">
        <v>56</v>
      </c>
      <c r="W2">
        <f>R4/R6</f>
        <v>1.5555555555555556</v>
      </c>
    </row>
    <row r="3" spans="1:23" x14ac:dyDescent="0.25">
      <c r="A3" t="s">
        <v>57</v>
      </c>
      <c r="C3" t="s">
        <v>58</v>
      </c>
      <c r="D3" s="8">
        <v>7</v>
      </c>
      <c r="E3" s="8">
        <f>E1*$D$3</f>
        <v>0</v>
      </c>
      <c r="F3" s="8"/>
      <c r="G3" s="8"/>
      <c r="H3" s="8"/>
      <c r="I3" s="8"/>
      <c r="L3" s="11">
        <v>100</v>
      </c>
      <c r="M3" s="11">
        <v>1200</v>
      </c>
      <c r="N3" s="11"/>
      <c r="P3" t="s">
        <v>58</v>
      </c>
      <c r="Q3" s="14">
        <v>0.3</v>
      </c>
      <c r="R3" s="4">
        <f>R2*$Q$3</f>
        <v>30000</v>
      </c>
      <c r="S3" s="4">
        <f>S2*$Q$3</f>
        <v>31500</v>
      </c>
      <c r="V3" t="s">
        <v>59</v>
      </c>
      <c r="W3">
        <f>R6/R8</f>
        <v>2.1428571428571428</v>
      </c>
    </row>
    <row r="4" spans="1:23" x14ac:dyDescent="0.25">
      <c r="A4" t="s">
        <v>60</v>
      </c>
      <c r="C4" t="s">
        <v>61</v>
      </c>
      <c r="D4">
        <f>D2-D3</f>
        <v>4</v>
      </c>
      <c r="E4">
        <f>E2-E3</f>
        <v>0</v>
      </c>
      <c r="L4" s="11">
        <v>120</v>
      </c>
      <c r="M4" s="11">
        <v>1240</v>
      </c>
      <c r="N4" s="11"/>
      <c r="P4" t="s">
        <v>61</v>
      </c>
      <c r="Q4" s="14">
        <f>1-Q3</f>
        <v>0.7</v>
      </c>
      <c r="R4" s="3">
        <f>R2-R3</f>
        <v>70000</v>
      </c>
      <c r="S4" s="3">
        <f>S2-S3</f>
        <v>73500</v>
      </c>
      <c r="T4" s="15">
        <f>S4/R4-1</f>
        <v>5.0000000000000044E-2</v>
      </c>
      <c r="V4" t="s">
        <v>100</v>
      </c>
      <c r="W4">
        <f>W2*W3</f>
        <v>3.3333333333333335</v>
      </c>
    </row>
    <row r="5" spans="1:23" x14ac:dyDescent="0.25">
      <c r="A5" t="s">
        <v>62</v>
      </c>
      <c r="C5" t="s">
        <v>63</v>
      </c>
      <c r="D5">
        <v>20000</v>
      </c>
      <c r="E5" s="8">
        <f>$D$5</f>
        <v>20000</v>
      </c>
      <c r="F5" s="8"/>
      <c r="G5" s="8"/>
      <c r="H5" s="8"/>
      <c r="I5" s="8"/>
      <c r="L5" s="11">
        <v>140</v>
      </c>
      <c r="M5" s="11">
        <v>1280</v>
      </c>
      <c r="N5" s="11"/>
      <c r="P5" t="s">
        <v>63</v>
      </c>
      <c r="R5" s="4">
        <v>25000</v>
      </c>
      <c r="S5" s="4">
        <v>25000</v>
      </c>
      <c r="T5" s="13"/>
    </row>
    <row r="6" spans="1:23" x14ac:dyDescent="0.25">
      <c r="C6" t="s">
        <v>65</v>
      </c>
      <c r="E6">
        <f>E4-E5</f>
        <v>-20000</v>
      </c>
      <c r="L6" s="11">
        <v>160</v>
      </c>
      <c r="M6" s="11">
        <v>1320</v>
      </c>
      <c r="N6" s="11"/>
      <c r="P6" t="s">
        <v>198</v>
      </c>
      <c r="R6" s="3">
        <f>R4-R5</f>
        <v>45000</v>
      </c>
      <c r="S6" s="3">
        <f>S4-S5</f>
        <v>48500</v>
      </c>
      <c r="T6" s="15">
        <f>S6/R6-1</f>
        <v>7.7777777777777724E-2</v>
      </c>
      <c r="V6" t="s">
        <v>64</v>
      </c>
    </row>
    <row r="7" spans="1:23" x14ac:dyDescent="0.25">
      <c r="A7" s="12" t="s">
        <v>66</v>
      </c>
      <c r="B7" s="12"/>
      <c r="L7" s="11">
        <v>180</v>
      </c>
      <c r="M7" s="11">
        <v>1360</v>
      </c>
      <c r="N7" s="11"/>
      <c r="P7" t="s">
        <v>67</v>
      </c>
      <c r="Q7" s="14">
        <v>0.12</v>
      </c>
      <c r="R7" s="4">
        <f>$R$14*$Q$7</f>
        <v>24000</v>
      </c>
      <c r="S7" s="4">
        <f>$R$14*$Q$7</f>
        <v>24000</v>
      </c>
      <c r="T7" s="13"/>
      <c r="V7" t="s">
        <v>198</v>
      </c>
      <c r="W7" s="15">
        <f>W2*S1</f>
        <v>7.7777777777777779E-2</v>
      </c>
    </row>
    <row r="8" spans="1:23" x14ac:dyDescent="0.25">
      <c r="A8" t="s">
        <v>69</v>
      </c>
      <c r="C8" t="s">
        <v>70</v>
      </c>
      <c r="F8" s="16">
        <f>IF(F6="",0,F6-E6)</f>
        <v>0</v>
      </c>
      <c r="G8" s="16">
        <f t="shared" ref="G8:I8" si="0">G6-F6</f>
        <v>0</v>
      </c>
      <c r="H8" s="16">
        <f t="shared" si="0"/>
        <v>0</v>
      </c>
      <c r="I8" s="16">
        <f t="shared" si="0"/>
        <v>0</v>
      </c>
      <c r="P8" t="s">
        <v>68</v>
      </c>
      <c r="R8" s="3">
        <f>R6-R7</f>
        <v>21000</v>
      </c>
      <c r="S8" s="3">
        <f>S6-S7</f>
        <v>24500</v>
      </c>
      <c r="T8" s="15">
        <f>S8/R8-1</f>
        <v>0.16666666666666674</v>
      </c>
      <c r="V8" t="s">
        <v>77</v>
      </c>
      <c r="W8" s="15">
        <f>W7*W3</f>
        <v>0.16666666666666666</v>
      </c>
    </row>
    <row r="9" spans="1:23" x14ac:dyDescent="0.25">
      <c r="A9" t="s">
        <v>71</v>
      </c>
      <c r="C9" t="s">
        <v>72</v>
      </c>
      <c r="F9" s="16">
        <f>F1-E1</f>
        <v>3500</v>
      </c>
      <c r="G9" s="16">
        <f t="shared" ref="G9:I9" si="1">G1-F1</f>
        <v>1500</v>
      </c>
      <c r="H9" s="16">
        <f t="shared" si="1"/>
        <v>1200</v>
      </c>
      <c r="I9" s="16">
        <f t="shared" si="1"/>
        <v>1100</v>
      </c>
      <c r="L9" s="17" t="s">
        <v>73</v>
      </c>
      <c r="P9" t="s">
        <v>74</v>
      </c>
      <c r="Q9" s="14">
        <v>0.3</v>
      </c>
      <c r="R9" s="4">
        <f>R8*$Q$9</f>
        <v>6300</v>
      </c>
      <c r="S9" s="4">
        <f>S8*$Q$9</f>
        <v>7350</v>
      </c>
      <c r="T9" s="13"/>
    </row>
    <row r="10" spans="1:23" x14ac:dyDescent="0.25">
      <c r="A10" t="s">
        <v>75</v>
      </c>
      <c r="C10" t="s">
        <v>76</v>
      </c>
      <c r="F10" s="16">
        <f>F8/F9</f>
        <v>0</v>
      </c>
      <c r="G10" s="16">
        <f t="shared" ref="G10:I10" si="2">G8/G9</f>
        <v>0</v>
      </c>
      <c r="H10" s="16">
        <f t="shared" si="2"/>
        <v>0</v>
      </c>
      <c r="I10" s="16">
        <f t="shared" si="2"/>
        <v>0</v>
      </c>
      <c r="L10">
        <f>L7-L3</f>
        <v>80</v>
      </c>
      <c r="M10">
        <f>M7-M3</f>
        <v>160</v>
      </c>
      <c r="P10" t="s">
        <v>77</v>
      </c>
      <c r="R10" s="3">
        <f>R8-R9</f>
        <v>14700</v>
      </c>
      <c r="S10" s="3">
        <f>S8-S9</f>
        <v>17150</v>
      </c>
      <c r="T10" s="15">
        <f>S10/R10-1</f>
        <v>0.16666666666666674</v>
      </c>
      <c r="V10" t="s">
        <v>77</v>
      </c>
      <c r="W10" s="15">
        <f>S1*W4</f>
        <v>0.16666666666666669</v>
      </c>
    </row>
    <row r="11" spans="1:23" x14ac:dyDescent="0.25">
      <c r="A11" t="s">
        <v>78</v>
      </c>
      <c r="C11" t="s">
        <v>199</v>
      </c>
      <c r="L11" t="s">
        <v>79</v>
      </c>
      <c r="M11" s="1">
        <f>M10/L10</f>
        <v>2</v>
      </c>
      <c r="N11" s="1"/>
      <c r="P11" t="s">
        <v>80</v>
      </c>
      <c r="R11" s="15">
        <f>R10/$R$13</f>
        <v>1.8374999999999999E-2</v>
      </c>
      <c r="S11" s="15">
        <f>S10/$R$13</f>
        <v>2.1437500000000002E-2</v>
      </c>
    </row>
    <row r="12" spans="1:23" x14ac:dyDescent="0.25">
      <c r="A12" t="s">
        <v>81</v>
      </c>
      <c r="C12" t="s">
        <v>200</v>
      </c>
      <c r="L12" t="s">
        <v>63</v>
      </c>
      <c r="M12">
        <f>M3-(L3*M11)</f>
        <v>1000</v>
      </c>
    </row>
    <row r="13" spans="1:23" x14ac:dyDescent="0.25">
      <c r="C13" t="s">
        <v>82</v>
      </c>
      <c r="D13" s="18">
        <f>D4/D2</f>
        <v>0.36363636363636365</v>
      </c>
      <c r="E13" s="19"/>
      <c r="F13" s="18"/>
      <c r="G13" s="18"/>
      <c r="H13" s="18"/>
      <c r="I13" s="18"/>
      <c r="P13" t="s">
        <v>83</v>
      </c>
      <c r="R13" s="3">
        <f>1000000-R14</f>
        <v>800000</v>
      </c>
    </row>
    <row r="14" spans="1:23" x14ac:dyDescent="0.25">
      <c r="C14" t="s">
        <v>84</v>
      </c>
      <c r="D14" s="16">
        <f>D5/D4</f>
        <v>5000</v>
      </c>
      <c r="F14" s="16"/>
      <c r="G14" s="16"/>
      <c r="H14" s="16"/>
      <c r="I14" s="16"/>
      <c r="L14" s="17" t="s">
        <v>85</v>
      </c>
      <c r="P14" t="s">
        <v>86</v>
      </c>
      <c r="Q14" s="14">
        <v>0.2</v>
      </c>
      <c r="R14" s="3">
        <f>1000000*Q14</f>
        <v>200000</v>
      </c>
    </row>
    <row r="15" spans="1:23" x14ac:dyDescent="0.25">
      <c r="C15" t="s">
        <v>87</v>
      </c>
      <c r="D15" s="16">
        <f>D5/D13</f>
        <v>55000</v>
      </c>
      <c r="L15" t="s">
        <v>79</v>
      </c>
      <c r="M15" s="1">
        <f>SLOPE(M3:M7,L3:L7)</f>
        <v>2</v>
      </c>
      <c r="N15" s="1"/>
      <c r="P15" t="s">
        <v>88</v>
      </c>
      <c r="R15" s="3">
        <f>SUM(R13:R14)</f>
        <v>1000000</v>
      </c>
    </row>
    <row r="16" spans="1:23" x14ac:dyDescent="0.25">
      <c r="L16" t="s">
        <v>63</v>
      </c>
      <c r="M16">
        <f>INTERCEPT(M3:M7,L3:L7)</f>
        <v>1000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"/>
  <sheetViews>
    <sheetView topLeftCell="A19" workbookViewId="0">
      <selection activeCell="A19" sqref="A19"/>
    </sheetView>
  </sheetViews>
  <sheetFormatPr defaultRowHeight="15" x14ac:dyDescent="0.25"/>
  <cols>
    <col min="2" max="2" width="18.28515625" bestFit="1" customWidth="1"/>
    <col min="3" max="3" width="10.140625" bestFit="1" customWidth="1"/>
    <col min="5" max="5" width="10.140625" bestFit="1" customWidth="1"/>
    <col min="9" max="9" width="11" customWidth="1"/>
    <col min="12" max="12" width="12.5703125" bestFit="1" customWidth="1"/>
  </cols>
  <sheetData>
    <row r="1" spans="1:8" x14ac:dyDescent="0.25">
      <c r="A1" t="s">
        <v>92</v>
      </c>
    </row>
    <row r="3" spans="1:8" x14ac:dyDescent="0.25">
      <c r="A3" s="12" t="s">
        <v>93</v>
      </c>
      <c r="G3" t="s">
        <v>32</v>
      </c>
    </row>
    <row r="4" spans="1:8" x14ac:dyDescent="0.25">
      <c r="A4" t="s">
        <v>36</v>
      </c>
      <c r="G4" s="11">
        <v>1</v>
      </c>
      <c r="H4" t="s">
        <v>50</v>
      </c>
    </row>
    <row r="5" spans="1:8" x14ac:dyDescent="0.25">
      <c r="B5" t="s">
        <v>37</v>
      </c>
      <c r="C5">
        <v>550</v>
      </c>
      <c r="G5" s="11">
        <v>2</v>
      </c>
      <c r="H5" t="s">
        <v>49</v>
      </c>
    </row>
    <row r="6" spans="1:8" x14ac:dyDescent="0.25">
      <c r="B6" t="s">
        <v>38</v>
      </c>
      <c r="C6">
        <v>825</v>
      </c>
      <c r="H6" t="s">
        <v>91</v>
      </c>
    </row>
    <row r="7" spans="1:8" x14ac:dyDescent="0.25">
      <c r="B7" t="s">
        <v>39</v>
      </c>
      <c r="C7">
        <v>420</v>
      </c>
      <c r="G7" s="11">
        <v>3</v>
      </c>
      <c r="H7" t="s">
        <v>96</v>
      </c>
    </row>
    <row r="8" spans="1:8" x14ac:dyDescent="0.25">
      <c r="B8" t="s">
        <v>40</v>
      </c>
      <c r="C8" s="8">
        <v>660</v>
      </c>
      <c r="H8" t="s">
        <v>94</v>
      </c>
    </row>
    <row r="9" spans="1:8" x14ac:dyDescent="0.25">
      <c r="B9" s="12" t="s">
        <v>41</v>
      </c>
      <c r="D9" s="12">
        <f>SUM(C5:C8)</f>
        <v>2455</v>
      </c>
      <c r="H9" t="s">
        <v>95</v>
      </c>
    </row>
    <row r="10" spans="1:8" x14ac:dyDescent="0.25">
      <c r="A10" t="s">
        <v>42</v>
      </c>
      <c r="H10" t="s">
        <v>97</v>
      </c>
    </row>
    <row r="11" spans="1:8" x14ac:dyDescent="0.25">
      <c r="B11" t="s">
        <v>43</v>
      </c>
      <c r="C11">
        <v>275</v>
      </c>
      <c r="H11" t="s">
        <v>98</v>
      </c>
    </row>
    <row r="12" spans="1:8" x14ac:dyDescent="0.25">
      <c r="B12" t="s">
        <v>44</v>
      </c>
      <c r="C12" s="8">
        <v>770</v>
      </c>
      <c r="H12" t="s">
        <v>99</v>
      </c>
    </row>
    <row r="13" spans="1:8" x14ac:dyDescent="0.25">
      <c r="B13" s="12" t="s">
        <v>45</v>
      </c>
      <c r="D13" s="12">
        <f>SUM(C11:C12)</f>
        <v>1045</v>
      </c>
      <c r="G13" s="11"/>
    </row>
    <row r="14" spans="1:8" x14ac:dyDescent="0.25">
      <c r="D14" s="8"/>
    </row>
    <row r="15" spans="1:8" x14ac:dyDescent="0.25">
      <c r="A15" s="12" t="s">
        <v>46</v>
      </c>
      <c r="D15" s="12">
        <f>SUM(D9:D13)</f>
        <v>3500</v>
      </c>
    </row>
    <row r="16" spans="1:8" x14ac:dyDescent="0.25">
      <c r="A16" t="s">
        <v>47</v>
      </c>
      <c r="D16">
        <v>3000</v>
      </c>
    </row>
    <row r="17" spans="1:7" x14ac:dyDescent="0.25">
      <c r="A17" t="s">
        <v>48</v>
      </c>
      <c r="D17">
        <v>4350</v>
      </c>
    </row>
    <row r="19" spans="1:7" x14ac:dyDescent="0.25">
      <c r="A19" s="12" t="s">
        <v>133</v>
      </c>
    </row>
    <row r="20" spans="1:7" x14ac:dyDescent="0.25">
      <c r="B20" t="s">
        <v>134</v>
      </c>
      <c r="D20">
        <f>D17</f>
        <v>4350</v>
      </c>
    </row>
    <row r="21" spans="1:7" x14ac:dyDescent="0.25">
      <c r="B21" t="s">
        <v>136</v>
      </c>
      <c r="C21">
        <f>SUM(C5:C7)</f>
        <v>1795</v>
      </c>
    </row>
    <row r="22" spans="1:7" x14ac:dyDescent="0.25">
      <c r="B22" t="s">
        <v>137</v>
      </c>
      <c r="C22">
        <f>C11</f>
        <v>275</v>
      </c>
      <c r="D22" s="8">
        <f>SUM(C21:C22)</f>
        <v>2070</v>
      </c>
    </row>
    <row r="23" spans="1:7" x14ac:dyDescent="0.25">
      <c r="B23" t="s">
        <v>138</v>
      </c>
      <c r="D23">
        <f>D20-D22</f>
        <v>2280</v>
      </c>
    </row>
    <row r="25" spans="1:7" x14ac:dyDescent="0.25">
      <c r="B25" t="s">
        <v>119</v>
      </c>
      <c r="D25" s="3">
        <f>(C8+C12)*D16</f>
        <v>4290000</v>
      </c>
    </row>
    <row r="27" spans="1:7" x14ac:dyDescent="0.25">
      <c r="A27">
        <v>1</v>
      </c>
      <c r="B27" t="s">
        <v>82</v>
      </c>
      <c r="D27" s="31"/>
      <c r="G27" t="s">
        <v>139</v>
      </c>
    </row>
    <row r="28" spans="1:7" x14ac:dyDescent="0.25">
      <c r="B28" s="12" t="s">
        <v>130</v>
      </c>
      <c r="D28" s="32"/>
      <c r="G28" t="s">
        <v>140</v>
      </c>
    </row>
    <row r="29" spans="1:7" x14ac:dyDescent="0.25">
      <c r="B29" s="12" t="s">
        <v>131</v>
      </c>
      <c r="D29" s="33"/>
    </row>
    <row r="30" spans="1:7" x14ac:dyDescent="0.25">
      <c r="B30" t="s">
        <v>132</v>
      </c>
      <c r="D30" s="34"/>
    </row>
    <row r="32" spans="1:7" x14ac:dyDescent="0.25">
      <c r="C32" t="s">
        <v>141</v>
      </c>
      <c r="D32" t="s">
        <v>142</v>
      </c>
      <c r="E32" t="s">
        <v>143</v>
      </c>
    </row>
    <row r="33" spans="1:13" x14ac:dyDescent="0.25">
      <c r="A33">
        <v>2</v>
      </c>
      <c r="B33" t="s">
        <v>144</v>
      </c>
      <c r="C33">
        <f>D20</f>
        <v>4350</v>
      </c>
      <c r="D33" s="35"/>
      <c r="E33">
        <f>D33-C33</f>
        <v>-4350</v>
      </c>
      <c r="G33" t="s">
        <v>148</v>
      </c>
    </row>
    <row r="34" spans="1:13" x14ac:dyDescent="0.25">
      <c r="B34" t="s">
        <v>145</v>
      </c>
      <c r="C34" s="8">
        <f>D22</f>
        <v>2070</v>
      </c>
      <c r="D34" s="36"/>
      <c r="E34" s="8"/>
    </row>
    <row r="35" spans="1:13" x14ac:dyDescent="0.25">
      <c r="B35" t="s">
        <v>146</v>
      </c>
      <c r="C35">
        <f>C33-C34</f>
        <v>2280</v>
      </c>
      <c r="D35" s="35"/>
      <c r="E35">
        <f>E33-E34</f>
        <v>-4350</v>
      </c>
    </row>
    <row r="36" spans="1:13" x14ac:dyDescent="0.25">
      <c r="B36" t="s">
        <v>90</v>
      </c>
      <c r="C36">
        <f>D16</f>
        <v>3000</v>
      </c>
      <c r="D36" s="35"/>
    </row>
    <row r="37" spans="1:13" x14ac:dyDescent="0.25">
      <c r="G37" t="s">
        <v>150</v>
      </c>
    </row>
    <row r="38" spans="1:13" x14ac:dyDescent="0.25">
      <c r="B38" t="s">
        <v>147</v>
      </c>
      <c r="C38" s="3">
        <f>C35*C36</f>
        <v>6840000</v>
      </c>
      <c r="D38" s="37"/>
      <c r="E38" s="3">
        <f>D38-C38</f>
        <v>-6840000</v>
      </c>
      <c r="G38" t="s">
        <v>151</v>
      </c>
      <c r="I38" s="35"/>
    </row>
    <row r="39" spans="1:13" x14ac:dyDescent="0.25">
      <c r="B39" t="s">
        <v>149</v>
      </c>
      <c r="C39" s="4">
        <f>$D$25</f>
        <v>4290000</v>
      </c>
      <c r="D39" s="38"/>
      <c r="E39" s="8"/>
    </row>
    <row r="40" spans="1:13" x14ac:dyDescent="0.25">
      <c r="B40" t="s">
        <v>111</v>
      </c>
      <c r="C40" s="3">
        <f>C38-C39</f>
        <v>2550000</v>
      </c>
      <c r="D40" s="37"/>
      <c r="E40" s="3">
        <f>D40-C40</f>
        <v>-2550000</v>
      </c>
      <c r="G40" t="s">
        <v>152</v>
      </c>
      <c r="I40" s="37"/>
    </row>
    <row r="43" spans="1:13" x14ac:dyDescent="0.25">
      <c r="A43">
        <v>3</v>
      </c>
      <c r="B43" s="12" t="s">
        <v>153</v>
      </c>
    </row>
    <row r="44" spans="1:13" x14ac:dyDescent="0.25">
      <c r="C44" t="s">
        <v>154</v>
      </c>
      <c r="E44" t="s">
        <v>157</v>
      </c>
      <c r="I44" t="s">
        <v>161</v>
      </c>
      <c r="L44" t="s">
        <v>162</v>
      </c>
    </row>
    <row r="45" spans="1:13" x14ac:dyDescent="0.25">
      <c r="E45" t="s">
        <v>158</v>
      </c>
      <c r="F45" t="s">
        <v>159</v>
      </c>
      <c r="G45" t="s">
        <v>160</v>
      </c>
      <c r="J45">
        <v>500</v>
      </c>
    </row>
    <row r="46" spans="1:13" x14ac:dyDescent="0.25">
      <c r="B46" t="s">
        <v>54</v>
      </c>
      <c r="C46" s="3">
        <v>4000</v>
      </c>
      <c r="E46" s="3">
        <v>3500</v>
      </c>
      <c r="F46" s="3">
        <v>500</v>
      </c>
      <c r="G46" s="3">
        <f>SUM(E46:F46)</f>
        <v>4000</v>
      </c>
      <c r="I46" s="3" t="s">
        <v>163</v>
      </c>
      <c r="J46" s="35"/>
      <c r="L46" t="s">
        <v>164</v>
      </c>
      <c r="M46">
        <f>D17-D15</f>
        <v>850</v>
      </c>
    </row>
    <row r="47" spans="1:13" x14ac:dyDescent="0.25">
      <c r="B47" t="s">
        <v>155</v>
      </c>
      <c r="C47" s="3">
        <f>$D$17*C46</f>
        <v>17400000</v>
      </c>
      <c r="E47" s="37"/>
      <c r="F47" s="37"/>
      <c r="G47" s="3"/>
      <c r="I47" s="3" t="s">
        <v>165</v>
      </c>
      <c r="J47">
        <f>J45*J46</f>
        <v>0</v>
      </c>
      <c r="L47" t="s">
        <v>166</v>
      </c>
      <c r="M47" s="3">
        <f>C46-D16</f>
        <v>1000</v>
      </c>
    </row>
    <row r="48" spans="1:13" x14ac:dyDescent="0.25">
      <c r="B48" t="s">
        <v>135</v>
      </c>
      <c r="C48" s="3">
        <f>$D$22*C46</f>
        <v>8280000</v>
      </c>
      <c r="E48" s="37"/>
      <c r="F48" s="37"/>
      <c r="G48" s="3"/>
      <c r="I48" s="3"/>
    </row>
    <row r="49" spans="2:13" x14ac:dyDescent="0.25">
      <c r="B49" t="s">
        <v>106</v>
      </c>
      <c r="C49" s="3">
        <f>C47-C48</f>
        <v>9120000</v>
      </c>
      <c r="E49" s="3">
        <f>E47-E48</f>
        <v>0</v>
      </c>
      <c r="F49" s="3">
        <f>F47-F48</f>
        <v>0</v>
      </c>
      <c r="G49" s="3">
        <f>E49+F49</f>
        <v>0</v>
      </c>
      <c r="I49" s="3" t="s">
        <v>167</v>
      </c>
      <c r="J49" s="3">
        <f>F49</f>
        <v>0</v>
      </c>
      <c r="L49" t="s">
        <v>168</v>
      </c>
      <c r="M49" s="3">
        <f>M46*M47</f>
        <v>850000</v>
      </c>
    </row>
    <row r="50" spans="2:13" x14ac:dyDescent="0.25">
      <c r="C50" s="3"/>
      <c r="E50" s="3"/>
      <c r="F50" s="3"/>
      <c r="G50" s="3"/>
      <c r="I50" s="3"/>
      <c r="L50" t="s">
        <v>169</v>
      </c>
      <c r="M50" s="3">
        <f>M47*(C12+C8)</f>
        <v>1430000</v>
      </c>
    </row>
    <row r="51" spans="2:13" x14ac:dyDescent="0.25">
      <c r="B51" t="s">
        <v>156</v>
      </c>
      <c r="C51" s="3">
        <f>D25</f>
        <v>4290000</v>
      </c>
      <c r="E51" s="3"/>
      <c r="F51" s="3"/>
      <c r="G51" s="37"/>
      <c r="I51" s="3"/>
      <c r="L51" t="s">
        <v>170</v>
      </c>
      <c r="M51" s="3">
        <f>M49+M50</f>
        <v>2280000</v>
      </c>
    </row>
    <row r="52" spans="2:13" x14ac:dyDescent="0.25">
      <c r="C52" s="3"/>
      <c r="E52" s="3"/>
      <c r="F52" s="3"/>
      <c r="G52" s="3"/>
      <c r="I52" s="3"/>
    </row>
    <row r="53" spans="2:13" x14ac:dyDescent="0.25">
      <c r="B53" t="s">
        <v>128</v>
      </c>
      <c r="C53" s="3">
        <f>C49-C51</f>
        <v>4830000</v>
      </c>
      <c r="E53" s="3"/>
      <c r="F53" s="3"/>
      <c r="G53" s="3">
        <f>G49-G51</f>
        <v>0</v>
      </c>
      <c r="I53" s="3"/>
      <c r="L53" t="s">
        <v>171</v>
      </c>
      <c r="M53" s="3">
        <f>C53-C40</f>
        <v>2280000</v>
      </c>
    </row>
    <row r="54" spans="2:13" x14ac:dyDescent="0.25">
      <c r="E54" s="3"/>
      <c r="F54" s="3"/>
      <c r="G54" s="3">
        <f>G53-C53</f>
        <v>-4830000</v>
      </c>
      <c r="I54" s="3" t="s">
        <v>172</v>
      </c>
      <c r="J54" s="3">
        <f>J49-J47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tabSelected="1" workbookViewId="0">
      <selection activeCell="L15" sqref="L15"/>
    </sheetView>
  </sheetViews>
  <sheetFormatPr defaultRowHeight="15" x14ac:dyDescent="0.25"/>
  <cols>
    <col min="2" max="2" width="21" bestFit="1" customWidth="1"/>
    <col min="4" max="6" width="12.140625" bestFit="1" customWidth="1"/>
    <col min="11" max="11" width="9.140625" customWidth="1"/>
    <col min="12" max="12" width="10.5703125" bestFit="1" customWidth="1"/>
  </cols>
  <sheetData>
    <row r="1" spans="2:12" x14ac:dyDescent="0.25">
      <c r="D1" t="s">
        <v>101</v>
      </c>
      <c r="E1" t="s">
        <v>102</v>
      </c>
      <c r="F1" t="s">
        <v>103</v>
      </c>
      <c r="H1" t="s">
        <v>113</v>
      </c>
    </row>
    <row r="2" spans="2:12" x14ac:dyDescent="0.25">
      <c r="B2" t="s">
        <v>53</v>
      </c>
      <c r="D2" s="20">
        <f>160*100000</f>
        <v>16000000</v>
      </c>
      <c r="E2" s="20">
        <f>E33</f>
        <v>18600000</v>
      </c>
      <c r="F2" s="20">
        <f>E2</f>
        <v>18600000</v>
      </c>
      <c r="H2">
        <v>1</v>
      </c>
      <c r="I2" t="s">
        <v>114</v>
      </c>
    </row>
    <row r="3" spans="2:12" x14ac:dyDescent="0.25">
      <c r="B3" t="s">
        <v>104</v>
      </c>
      <c r="C3" s="21"/>
      <c r="D3" s="20">
        <f>D2*0.45</f>
        <v>7200000</v>
      </c>
      <c r="E3" s="20">
        <f t="shared" ref="E3:F3" si="0">E2*0.45</f>
        <v>8370000</v>
      </c>
      <c r="F3" s="20">
        <f t="shared" si="0"/>
        <v>8370000</v>
      </c>
      <c r="I3" t="s">
        <v>115</v>
      </c>
    </row>
    <row r="4" spans="2:12" x14ac:dyDescent="0.25">
      <c r="B4" s="25" t="s">
        <v>105</v>
      </c>
      <c r="C4" s="26"/>
      <c r="D4" s="27">
        <f>D2*0.15</f>
        <v>2400000</v>
      </c>
      <c r="E4" s="27">
        <f>E2*0.2</f>
        <v>3720000</v>
      </c>
      <c r="F4" s="27">
        <f>F2*0.075</f>
        <v>1395000</v>
      </c>
      <c r="H4">
        <v>2</v>
      </c>
      <c r="I4" t="s">
        <v>116</v>
      </c>
    </row>
    <row r="5" spans="2:12" x14ac:dyDescent="0.25">
      <c r="B5" t="s">
        <v>106</v>
      </c>
      <c r="C5" s="20"/>
      <c r="D5" s="20">
        <f>D2-SUM(D3:D4)</f>
        <v>6400000</v>
      </c>
      <c r="E5" s="20">
        <f t="shared" ref="E5:F5" si="1">E2-SUM(E3:E4)</f>
        <v>6510000</v>
      </c>
      <c r="F5" s="20">
        <f t="shared" si="1"/>
        <v>8835000</v>
      </c>
      <c r="I5" t="s">
        <v>118</v>
      </c>
      <c r="L5" s="20">
        <f>24*100000</f>
        <v>2400000</v>
      </c>
    </row>
    <row r="6" spans="2:12" x14ac:dyDescent="0.25">
      <c r="C6" s="20"/>
      <c r="D6" s="23"/>
      <c r="E6" s="23"/>
      <c r="F6" s="23"/>
      <c r="I6" t="s">
        <v>117</v>
      </c>
      <c r="L6" s="20">
        <v>75000</v>
      </c>
    </row>
    <row r="7" spans="2:12" x14ac:dyDescent="0.25">
      <c r="B7" t="s">
        <v>120</v>
      </c>
      <c r="D7" s="23"/>
      <c r="E7" s="23"/>
      <c r="F7" s="23"/>
    </row>
    <row r="8" spans="2:12" x14ac:dyDescent="0.25">
      <c r="B8" t="s">
        <v>107</v>
      </c>
      <c r="D8" s="20">
        <f>23.4*100000</f>
        <v>2340000</v>
      </c>
      <c r="E8" s="23">
        <f>D8</f>
        <v>2340000</v>
      </c>
      <c r="F8" s="23">
        <f>D8</f>
        <v>2340000</v>
      </c>
      <c r="H8" s="12" t="s">
        <v>121</v>
      </c>
    </row>
    <row r="9" spans="2:12" x14ac:dyDescent="0.25">
      <c r="B9" t="s">
        <v>108</v>
      </c>
      <c r="C9" s="20"/>
      <c r="D9" s="20">
        <v>120000</v>
      </c>
      <c r="E9" s="23">
        <f t="shared" ref="E9:E10" si="2">D9</f>
        <v>120000</v>
      </c>
      <c r="F9" s="23">
        <f>D9+L5</f>
        <v>2520000</v>
      </c>
      <c r="H9">
        <v>1</v>
      </c>
      <c r="I9" t="s">
        <v>122</v>
      </c>
    </row>
    <row r="10" spans="2:12" x14ac:dyDescent="0.25">
      <c r="B10" t="s">
        <v>109</v>
      </c>
      <c r="C10" s="20"/>
      <c r="D10" s="22">
        <f>18*100000</f>
        <v>1800000</v>
      </c>
      <c r="E10" s="24">
        <f t="shared" si="2"/>
        <v>1800000</v>
      </c>
      <c r="F10" s="24">
        <f>D10-L6</f>
        <v>1725000</v>
      </c>
      <c r="H10">
        <v>2</v>
      </c>
      <c r="I10" t="s">
        <v>123</v>
      </c>
    </row>
    <row r="11" spans="2:12" x14ac:dyDescent="0.25">
      <c r="B11" s="7" t="s">
        <v>195</v>
      </c>
      <c r="D11" s="23">
        <f>SUM(D8:D10)</f>
        <v>4260000</v>
      </c>
      <c r="E11" s="23">
        <f>SUM(E8:E10)</f>
        <v>4260000</v>
      </c>
      <c r="F11" s="23">
        <f>SUM(F8:F10)</f>
        <v>6585000</v>
      </c>
      <c r="H11">
        <v>3</v>
      </c>
      <c r="I11" t="s">
        <v>124</v>
      </c>
    </row>
    <row r="12" spans="2:12" x14ac:dyDescent="0.25">
      <c r="B12" s="7"/>
      <c r="D12" s="23"/>
      <c r="E12" s="23"/>
      <c r="F12" s="23"/>
      <c r="H12">
        <v>4</v>
      </c>
      <c r="I12" t="s">
        <v>125</v>
      </c>
    </row>
    <row r="13" spans="2:12" x14ac:dyDescent="0.25">
      <c r="B13" s="10" t="s">
        <v>111</v>
      </c>
      <c r="D13" s="23">
        <f>D5-D11</f>
        <v>2140000</v>
      </c>
      <c r="E13" s="23">
        <f t="shared" ref="E13:F13" si="3">E5-E11</f>
        <v>2250000</v>
      </c>
      <c r="F13" s="23">
        <f t="shared" si="3"/>
        <v>2250000</v>
      </c>
      <c r="H13">
        <v>5</v>
      </c>
      <c r="I13" t="s">
        <v>126</v>
      </c>
    </row>
    <row r="14" spans="2:12" x14ac:dyDescent="0.25">
      <c r="B14" s="10" t="s">
        <v>112</v>
      </c>
      <c r="D14" s="24">
        <v>540000</v>
      </c>
      <c r="E14" s="24">
        <f>D14</f>
        <v>540000</v>
      </c>
      <c r="F14" s="24">
        <f>D14</f>
        <v>540000</v>
      </c>
    </row>
    <row r="15" spans="2:12" x14ac:dyDescent="0.25">
      <c r="B15" t="s">
        <v>68</v>
      </c>
      <c r="D15" s="23">
        <f>D13-D14</f>
        <v>1600000</v>
      </c>
      <c r="E15" s="23">
        <f t="shared" ref="E15:F15" si="4">E13-E14</f>
        <v>1710000</v>
      </c>
      <c r="F15" s="23">
        <f t="shared" si="4"/>
        <v>1710000</v>
      </c>
    </row>
    <row r="16" spans="2:12" x14ac:dyDescent="0.25">
      <c r="B16" t="s">
        <v>110</v>
      </c>
      <c r="D16" s="23">
        <f>D15*0.3</f>
        <v>480000</v>
      </c>
      <c r="E16" s="23">
        <f t="shared" ref="E16:F16" si="5">E15*0.3</f>
        <v>513000</v>
      </c>
      <c r="F16" s="23">
        <f t="shared" si="5"/>
        <v>513000</v>
      </c>
    </row>
    <row r="17" spans="1:6" x14ac:dyDescent="0.25">
      <c r="B17" t="s">
        <v>77</v>
      </c>
      <c r="D17" s="23">
        <f>D15-D16</f>
        <v>1120000</v>
      </c>
      <c r="E17" s="23">
        <f t="shared" ref="E17:F17" si="6">E15-E16</f>
        <v>1197000</v>
      </c>
      <c r="F17" s="23">
        <f t="shared" si="6"/>
        <v>1197000</v>
      </c>
    </row>
    <row r="20" spans="1:6" x14ac:dyDescent="0.25">
      <c r="A20">
        <v>1</v>
      </c>
      <c r="B20" t="s">
        <v>184</v>
      </c>
    </row>
    <row r="21" spans="1:6" x14ac:dyDescent="0.25">
      <c r="B21" t="s">
        <v>192</v>
      </c>
      <c r="C21" s="14"/>
      <c r="D21" s="14">
        <f>D5/D2</f>
        <v>0.4</v>
      </c>
      <c r="E21" s="14">
        <f t="shared" ref="E21:F21" si="7">E5/E2</f>
        <v>0.35</v>
      </c>
      <c r="F21" s="14">
        <f t="shared" si="7"/>
        <v>0.47499999999999998</v>
      </c>
    </row>
    <row r="22" spans="1:6" x14ac:dyDescent="0.25">
      <c r="B22" t="s">
        <v>194</v>
      </c>
      <c r="D22" s="42">
        <f>D11/D21</f>
        <v>10650000</v>
      </c>
      <c r="E22" s="42">
        <f t="shared" ref="E22:F22" si="8">E11/E21</f>
        <v>12171428.571428573</v>
      </c>
      <c r="F22" s="42">
        <f t="shared" si="8"/>
        <v>13863157.894736843</v>
      </c>
    </row>
    <row r="23" spans="1:6" x14ac:dyDescent="0.25">
      <c r="B23" t="s">
        <v>193</v>
      </c>
      <c r="D23" s="42">
        <f>(D11+D14)/D21</f>
        <v>12000000</v>
      </c>
      <c r="E23" s="42">
        <f t="shared" ref="E23:F23" si="9">(E11+E14)/E21</f>
        <v>13714285.714285715</v>
      </c>
      <c r="F23" s="42">
        <f t="shared" si="9"/>
        <v>15000000</v>
      </c>
    </row>
    <row r="25" spans="1:6" x14ac:dyDescent="0.25">
      <c r="A25">
        <v>2</v>
      </c>
      <c r="B25" t="s">
        <v>185</v>
      </c>
    </row>
    <row r="26" spans="1:6" x14ac:dyDescent="0.25">
      <c r="B26" t="s">
        <v>127</v>
      </c>
      <c r="E26" s="42">
        <f>E5</f>
        <v>6510000</v>
      </c>
    </row>
    <row r="27" spans="1:6" x14ac:dyDescent="0.25">
      <c r="B27" t="s">
        <v>129</v>
      </c>
      <c r="E27" s="42">
        <f>E23</f>
        <v>13714285.714285715</v>
      </c>
    </row>
    <row r="29" spans="1:6" x14ac:dyDescent="0.25">
      <c r="A29">
        <v>3</v>
      </c>
      <c r="B29" t="s">
        <v>186</v>
      </c>
    </row>
    <row r="30" spans="1:6" x14ac:dyDescent="0.25">
      <c r="B30" t="s">
        <v>187</v>
      </c>
      <c r="E30" s="13">
        <f>45%+20%</f>
        <v>0.65</v>
      </c>
      <c r="F30" s="30">
        <f>45%+7.5%</f>
        <v>0.52500000000000002</v>
      </c>
    </row>
    <row r="31" spans="1:6" x14ac:dyDescent="0.25">
      <c r="B31" t="s">
        <v>149</v>
      </c>
      <c r="E31" s="23">
        <f>(E11+E14)</f>
        <v>4800000</v>
      </c>
      <c r="F31" s="23">
        <f>(F11+F14)</f>
        <v>7125000</v>
      </c>
    </row>
    <row r="33" spans="1:8" x14ac:dyDescent="0.25">
      <c r="B33" t="s">
        <v>188</v>
      </c>
      <c r="E33" s="42">
        <f>(F31-E31)/(E30-F30)</f>
        <v>18600000</v>
      </c>
      <c r="H33" t="s">
        <v>197</v>
      </c>
    </row>
    <row r="35" spans="1:8" x14ac:dyDescent="0.25">
      <c r="A35">
        <v>4</v>
      </c>
      <c r="B35" t="s">
        <v>111</v>
      </c>
      <c r="D35" s="23">
        <f>D13</f>
        <v>2140000</v>
      </c>
      <c r="E35" s="23">
        <f t="shared" ref="E35:F35" si="10">E13</f>
        <v>2250000</v>
      </c>
      <c r="F35" s="23">
        <f t="shared" si="10"/>
        <v>2250000</v>
      </c>
    </row>
    <row r="36" spans="1:8" x14ac:dyDescent="0.25">
      <c r="B36" t="s">
        <v>189</v>
      </c>
      <c r="D36" s="43">
        <f>D5/D13</f>
        <v>2.9906542056074765</v>
      </c>
      <c r="E36" s="43">
        <f t="shared" ref="E36:F36" si="11">E5/E13</f>
        <v>2.8933333333333335</v>
      </c>
      <c r="F36" s="43">
        <f t="shared" si="11"/>
        <v>3.9266666666666667</v>
      </c>
    </row>
    <row r="37" spans="1:8" x14ac:dyDescent="0.25">
      <c r="B37" t="s">
        <v>190</v>
      </c>
      <c r="D37" s="35">
        <f>D13/D15</f>
        <v>1.3374999999999999</v>
      </c>
      <c r="E37" s="35">
        <f t="shared" ref="E37:F37" si="12">E13/E15</f>
        <v>1.3157894736842106</v>
      </c>
      <c r="F37" s="35">
        <f t="shared" si="12"/>
        <v>1.3157894736842106</v>
      </c>
    </row>
    <row r="39" spans="1:8" x14ac:dyDescent="0.25">
      <c r="B39" t="s">
        <v>191</v>
      </c>
      <c r="D39" s="43">
        <f>D36*D37</f>
        <v>3.9999999999999996</v>
      </c>
      <c r="E39" s="43">
        <f t="shared" ref="E39:F39" si="13">E36*E37</f>
        <v>3.8070175438596499</v>
      </c>
      <c r="F39" s="43">
        <f t="shared" si="13"/>
        <v>5.166666666666667</v>
      </c>
    </row>
    <row r="41" spans="1:8" x14ac:dyDescent="0.25">
      <c r="A41">
        <v>5</v>
      </c>
      <c r="B41" t="s">
        <v>196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workbookViewId="0">
      <selection activeCell="D28" sqref="D28"/>
    </sheetView>
  </sheetViews>
  <sheetFormatPr defaultRowHeight="15" x14ac:dyDescent="0.25"/>
  <sheetData>
    <row r="1" spans="1:13" x14ac:dyDescent="0.25">
      <c r="A1" t="s">
        <v>0</v>
      </c>
    </row>
    <row r="3" spans="1:13" x14ac:dyDescent="0.25">
      <c r="A3" t="s">
        <v>1</v>
      </c>
      <c r="K3" t="s">
        <v>5</v>
      </c>
    </row>
    <row r="4" spans="1:13" x14ac:dyDescent="0.25">
      <c r="A4" t="s">
        <v>22</v>
      </c>
      <c r="K4" t="s">
        <v>6</v>
      </c>
      <c r="L4" t="s">
        <v>7</v>
      </c>
      <c r="M4" t="s">
        <v>8</v>
      </c>
    </row>
    <row r="5" spans="1:13" x14ac:dyDescent="0.25">
      <c r="A5" t="s">
        <v>2</v>
      </c>
      <c r="K5" t="s">
        <v>9</v>
      </c>
      <c r="L5" s="3">
        <v>2500</v>
      </c>
      <c r="M5" s="3">
        <v>55000</v>
      </c>
    </row>
    <row r="6" spans="1:13" x14ac:dyDescent="0.25">
      <c r="F6" t="s">
        <v>25</v>
      </c>
      <c r="K6" t="s">
        <v>10</v>
      </c>
      <c r="L6" s="3">
        <v>2800</v>
      </c>
      <c r="M6" s="3">
        <v>59000</v>
      </c>
    </row>
    <row r="7" spans="1:13" x14ac:dyDescent="0.25">
      <c r="B7" t="s">
        <v>3</v>
      </c>
      <c r="D7" s="1">
        <v>15</v>
      </c>
      <c r="K7" t="s">
        <v>11</v>
      </c>
      <c r="L7" s="3">
        <v>3000</v>
      </c>
      <c r="M7" s="3">
        <v>60000</v>
      </c>
    </row>
    <row r="8" spans="1:13" x14ac:dyDescent="0.25">
      <c r="B8" t="s">
        <v>4</v>
      </c>
      <c r="D8" s="1">
        <f>0.5*10</f>
        <v>5</v>
      </c>
      <c r="F8" t="s">
        <v>26</v>
      </c>
      <c r="K8" t="s">
        <v>12</v>
      </c>
      <c r="L8" s="3">
        <v>4200</v>
      </c>
      <c r="M8" s="3">
        <v>64000</v>
      </c>
    </row>
    <row r="9" spans="1:13" x14ac:dyDescent="0.25">
      <c r="B9" t="s">
        <v>28</v>
      </c>
      <c r="D9" s="2">
        <f>0.5*13.98</f>
        <v>6.99</v>
      </c>
      <c r="F9" t="s">
        <v>27</v>
      </c>
      <c r="K9" t="s">
        <v>13</v>
      </c>
      <c r="L9" s="3">
        <v>4500</v>
      </c>
      <c r="M9" s="3">
        <v>67000</v>
      </c>
    </row>
    <row r="10" spans="1:13" x14ac:dyDescent="0.25">
      <c r="C10" s="7" t="s">
        <v>23</v>
      </c>
      <c r="D10" s="6">
        <f>SUM(D7:D9)</f>
        <v>26.990000000000002</v>
      </c>
      <c r="K10" t="s">
        <v>14</v>
      </c>
      <c r="L10" s="3">
        <v>5500</v>
      </c>
      <c r="M10" s="3">
        <v>71000</v>
      </c>
    </row>
    <row r="11" spans="1:13" x14ac:dyDescent="0.25">
      <c r="K11" t="s">
        <v>15</v>
      </c>
      <c r="L11" s="3">
        <v>6500</v>
      </c>
      <c r="M11" s="3">
        <v>74000</v>
      </c>
    </row>
    <row r="12" spans="1:13" x14ac:dyDescent="0.25">
      <c r="C12" s="7" t="s">
        <v>29</v>
      </c>
      <c r="D12" s="8">
        <f>D10*0.15</f>
        <v>4.0484999999999998</v>
      </c>
      <c r="K12" t="s">
        <v>16</v>
      </c>
      <c r="L12" s="3">
        <v>7500</v>
      </c>
      <c r="M12" s="3">
        <v>77000</v>
      </c>
    </row>
    <row r="13" spans="1:13" x14ac:dyDescent="0.25">
      <c r="C13" s="9" t="s">
        <v>24</v>
      </c>
      <c r="D13" s="6">
        <f>SUM(D10:D12)</f>
        <v>31.038500000000003</v>
      </c>
      <c r="K13" t="s">
        <v>17</v>
      </c>
      <c r="L13" s="3">
        <v>7000</v>
      </c>
      <c r="M13" s="3">
        <v>75000</v>
      </c>
    </row>
    <row r="14" spans="1:13" x14ac:dyDescent="0.25">
      <c r="K14" t="s">
        <v>18</v>
      </c>
      <c r="L14" s="3">
        <v>4500</v>
      </c>
      <c r="M14" s="3">
        <v>68000</v>
      </c>
    </row>
    <row r="15" spans="1:13" x14ac:dyDescent="0.25">
      <c r="A15" t="s">
        <v>30</v>
      </c>
      <c r="K15" t="s">
        <v>19</v>
      </c>
      <c r="L15" s="3">
        <v>3100</v>
      </c>
      <c r="M15" s="3">
        <v>62000</v>
      </c>
    </row>
    <row r="16" spans="1:13" x14ac:dyDescent="0.25">
      <c r="A16" t="s">
        <v>31</v>
      </c>
      <c r="K16" t="s">
        <v>20</v>
      </c>
      <c r="L16" s="4">
        <v>6500</v>
      </c>
      <c r="M16" s="4">
        <v>73000</v>
      </c>
    </row>
    <row r="17" spans="1:13" x14ac:dyDescent="0.25">
      <c r="L17" s="5">
        <f>SUM(L5:L16)</f>
        <v>57600</v>
      </c>
      <c r="M17" s="5">
        <f>SUM(M5:M16)</f>
        <v>805000</v>
      </c>
    </row>
    <row r="18" spans="1:13" x14ac:dyDescent="0.25">
      <c r="A18" t="s">
        <v>32</v>
      </c>
    </row>
    <row r="19" spans="1:13" x14ac:dyDescent="0.25">
      <c r="A19" s="11">
        <v>1</v>
      </c>
      <c r="B19" t="s">
        <v>34</v>
      </c>
      <c r="K19" t="s">
        <v>21</v>
      </c>
      <c r="M19" s="1">
        <f>M17/L17</f>
        <v>13.975694444444445</v>
      </c>
    </row>
    <row r="20" spans="1:13" x14ac:dyDescent="0.25">
      <c r="B20" t="s">
        <v>35</v>
      </c>
    </row>
    <row r="21" spans="1:13" x14ac:dyDescent="0.25">
      <c r="A21" s="11">
        <v>2</v>
      </c>
      <c r="B21" t="s">
        <v>33</v>
      </c>
    </row>
    <row r="23" spans="1:13" x14ac:dyDescent="0.25">
      <c r="A23" s="12" t="s">
        <v>173</v>
      </c>
    </row>
    <row r="25" spans="1:13" x14ac:dyDescent="0.25">
      <c r="B25" t="s">
        <v>174</v>
      </c>
      <c r="D25" s="35">
        <f>INTERCEPT(M5:M16,L5:L16)</f>
        <v>48126.406674427621</v>
      </c>
    </row>
    <row r="26" spans="1:13" x14ac:dyDescent="0.25">
      <c r="B26" t="s">
        <v>175</v>
      </c>
      <c r="D26" s="35">
        <f>SLOPE(M5:M16,L5:L16)</f>
        <v>3.9493597206053552</v>
      </c>
    </row>
    <row r="27" spans="1:13" x14ac:dyDescent="0.25">
      <c r="B27" t="s">
        <v>176</v>
      </c>
      <c r="D27" s="35">
        <f>RSQ(M5:M16,L5:L16)</f>
        <v>0.96231293865535861</v>
      </c>
    </row>
    <row r="30" spans="1:13" x14ac:dyDescent="0.25">
      <c r="B30" t="s">
        <v>177</v>
      </c>
      <c r="D30">
        <f>0.5*D26</f>
        <v>1.9746798603026776</v>
      </c>
    </row>
    <row r="31" spans="1:13" x14ac:dyDescent="0.25">
      <c r="B31" s="12" t="s">
        <v>178</v>
      </c>
      <c r="C31" s="12"/>
      <c r="D31" s="41"/>
      <c r="F31" s="12" t="s">
        <v>182</v>
      </c>
    </row>
    <row r="33" spans="2:4" x14ac:dyDescent="0.25">
      <c r="C33" t="s">
        <v>179</v>
      </c>
      <c r="D33" t="s">
        <v>180</v>
      </c>
    </row>
    <row r="34" spans="2:4" x14ac:dyDescent="0.25">
      <c r="B34" t="s">
        <v>53</v>
      </c>
      <c r="C34" s="39"/>
      <c r="D34" s="35"/>
    </row>
    <row r="35" spans="2:4" x14ac:dyDescent="0.25">
      <c r="B35" t="s">
        <v>58</v>
      </c>
      <c r="C35" s="40"/>
      <c r="D35" s="40"/>
    </row>
    <row r="36" spans="2:4" x14ac:dyDescent="0.25">
      <c r="B36" t="s">
        <v>61</v>
      </c>
      <c r="C36" s="39"/>
      <c r="D36" s="39"/>
    </row>
    <row r="38" spans="2:4" x14ac:dyDescent="0.25">
      <c r="B38" s="12" t="s">
        <v>183</v>
      </c>
    </row>
    <row r="40" spans="2:4" x14ac:dyDescent="0.25">
      <c r="B40" s="2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Fundamental Concepts</vt:lpstr>
      <vt:lpstr>Breakeven</vt:lpstr>
      <vt:lpstr>Addl analysis</vt:lpstr>
      <vt:lpstr>Mixed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2025-07-30T16:26:17Z</dcterms:modified>
</cp:coreProperties>
</file>