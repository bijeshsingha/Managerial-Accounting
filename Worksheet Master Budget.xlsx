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kachra\Downloads\"/>
    </mc:Choice>
  </mc:AlternateContent>
  <xr:revisionPtr revIDLastSave="0" documentId="13_ncr:1_{59EFE7BF-2850-4A96-BA97-612A2DA446A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3" r:id="rId1"/>
    <sheet name="Sheet1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1" i="3" l="1"/>
  <c r="L110" i="3"/>
  <c r="G109" i="3"/>
  <c r="L108" i="3"/>
  <c r="G108" i="3"/>
  <c r="L107" i="3"/>
  <c r="G107" i="3"/>
  <c r="G106" i="3"/>
  <c r="G105" i="3"/>
  <c r="L104" i="3"/>
  <c r="G104" i="3"/>
  <c r="L103" i="3"/>
  <c r="L102" i="3"/>
  <c r="L101" i="3"/>
  <c r="L100" i="3"/>
  <c r="L105" i="3" s="1"/>
  <c r="D90" i="3"/>
  <c r="G90" i="3" s="1"/>
  <c r="G87" i="3"/>
  <c r="G85" i="3"/>
  <c r="G84" i="3"/>
  <c r="G83" i="3"/>
  <c r="G82" i="3"/>
  <c r="G81" i="3"/>
  <c r="F73" i="3"/>
  <c r="F86" i="3" s="1"/>
  <c r="D73" i="3"/>
  <c r="D86" i="3" s="1"/>
  <c r="G72" i="3"/>
  <c r="E73" i="3"/>
  <c r="E86" i="3" s="1"/>
  <c r="C58" i="3"/>
  <c r="G58" i="3" s="1"/>
  <c r="C45" i="3" a="1"/>
  <c r="C47" i="3" s="1"/>
  <c r="G40" i="3"/>
  <c r="F41" i="3"/>
  <c r="E41" i="3"/>
  <c r="I13" i="3"/>
  <c r="G13" i="3"/>
  <c r="L112" i="3" l="1"/>
  <c r="C55" i="3"/>
  <c r="G38" i="3"/>
  <c r="D41" i="3"/>
  <c r="E80" i="3"/>
  <c r="G86" i="3"/>
  <c r="F80" i="3"/>
  <c r="C49" i="3"/>
  <c r="G37" i="3"/>
  <c r="G71" i="3"/>
  <c r="G73" i="3" s="1"/>
  <c r="C45" i="3"/>
  <c r="C48" i="3"/>
  <c r="C46" i="3"/>
  <c r="G41" i="3" l="1"/>
  <c r="D80" i="3"/>
  <c r="G80" i="3" s="1"/>
  <c r="G49" i="3"/>
  <c r="C57" i="3"/>
  <c r="F111" i="3"/>
  <c r="C54" i="3"/>
  <c r="C63" i="3" s="1"/>
  <c r="G46" i="3"/>
  <c r="G48" i="3"/>
  <c r="C56" i="3"/>
  <c r="F50" i="3"/>
  <c r="F77" i="3" s="1"/>
  <c r="G45" i="3"/>
  <c r="E111" i="3"/>
  <c r="E114" i="3" s="1"/>
  <c r="G47" i="3"/>
  <c r="G50" i="3" l="1"/>
  <c r="G55" i="3"/>
  <c r="G100" i="3"/>
  <c r="G102" i="3"/>
  <c r="G103" i="3"/>
  <c r="C65" i="3"/>
  <c r="G56" i="3"/>
  <c r="F59" i="3"/>
  <c r="G57" i="3"/>
  <c r="C66" i="3"/>
  <c r="G66" i="3" s="1"/>
  <c r="E50" i="3"/>
  <c r="E77" i="3" s="1"/>
  <c r="G63" i="3"/>
  <c r="D50" i="3"/>
  <c r="D77" i="3" s="1"/>
  <c r="C64" i="3"/>
  <c r="D111" i="3" l="1"/>
  <c r="D114" i="3" s="1"/>
  <c r="G65" i="3"/>
  <c r="F67" i="3"/>
  <c r="F78" i="3" s="1"/>
  <c r="F89" i="3" s="1"/>
  <c r="G111" i="3"/>
  <c r="D59" i="3"/>
  <c r="G77" i="3"/>
  <c r="E59" i="3"/>
  <c r="G59" i="3"/>
  <c r="G64" i="3" l="1"/>
  <c r="G67" i="3" s="1"/>
  <c r="D67" i="3"/>
  <c r="D78" i="3" s="1"/>
  <c r="E67" i="3"/>
  <c r="E78" i="3" s="1"/>
  <c r="E89" i="3" s="1"/>
  <c r="G78" i="3" l="1"/>
  <c r="D89" i="3"/>
  <c r="G89" i="3" l="1"/>
  <c r="G91" i="3" s="1"/>
  <c r="D91" i="3"/>
  <c r="D92" i="3" s="1"/>
  <c r="D95" i="3" l="1"/>
  <c r="E90" i="3" s="1"/>
  <c r="E91" i="3" s="1"/>
  <c r="E92" i="3" s="1"/>
  <c r="E95" i="3" l="1"/>
  <c r="F90" i="3" s="1"/>
  <c r="F91" i="3" s="1"/>
  <c r="F92" i="3" s="1"/>
  <c r="F93" i="3" l="1"/>
  <c r="G93" i="3" s="1"/>
  <c r="G92" i="3"/>
  <c r="F94" i="3"/>
  <c r="G94" i="3" l="1"/>
  <c r="F95" i="3"/>
  <c r="G95" i="3" s="1"/>
  <c r="K105" i="3" s="1"/>
  <c r="G113" i="3" l="1"/>
  <c r="G114" i="3" s="1"/>
  <c r="K112" i="3" s="1"/>
  <c r="F114" i="3"/>
</calcChain>
</file>

<file path=xl/sharedStrings.xml><?xml version="1.0" encoding="utf-8"?>
<sst xmlns="http://schemas.openxmlformats.org/spreadsheetml/2006/main" count="153" uniqueCount="110">
  <si>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</si>
  <si>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</si>
  <si>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</si>
  <si>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</si>
  <si>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</si>
  <si>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</si>
  <si>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</si>
  <si>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</si>
  <si>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</si>
  <si>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Monthly Operating Expenses</t>
  </si>
  <si>
    <t>Variable</t>
  </si>
  <si>
    <t>Sal Comm</t>
  </si>
  <si>
    <t>Fixed</t>
  </si>
  <si>
    <t>Advt</t>
  </si>
  <si>
    <t>Rent</t>
  </si>
  <si>
    <t>Salaries</t>
  </si>
  <si>
    <t>Utilities</t>
  </si>
  <si>
    <t>Insurance</t>
  </si>
  <si>
    <t>Dep</t>
  </si>
  <si>
    <t>Balance Sheet as on Mar 31</t>
  </si>
  <si>
    <t>Cash</t>
  </si>
  <si>
    <t>Rec</t>
  </si>
  <si>
    <t>Inv</t>
  </si>
  <si>
    <t>P/d Ins</t>
  </si>
  <si>
    <t>PPE</t>
  </si>
  <si>
    <t>Payables</t>
  </si>
  <si>
    <t>Div Pay</t>
  </si>
  <si>
    <t>Capital</t>
  </si>
  <si>
    <t>RE</t>
  </si>
  <si>
    <t>Additional Information</t>
  </si>
  <si>
    <t>SP pu</t>
  </si>
  <si>
    <t>Mat pu</t>
  </si>
  <si>
    <t>Half months purchase paid immediately and other half in the following month</t>
  </si>
  <si>
    <t>Collection pattern</t>
  </si>
  <si>
    <t>Month t</t>
  </si>
  <si>
    <t>Month t+1</t>
  </si>
  <si>
    <t>Month t+2</t>
  </si>
  <si>
    <t>Insurance paid on an annual basis in November</t>
  </si>
  <si>
    <t>CAPEX plan</t>
  </si>
  <si>
    <t>June</t>
  </si>
  <si>
    <t>Dividend</t>
  </si>
  <si>
    <t>/Qtr</t>
  </si>
  <si>
    <t>Cash bal</t>
  </si>
  <si>
    <t>Borrowing</t>
  </si>
  <si>
    <t>Repayment</t>
  </si>
  <si>
    <t>Start</t>
  </si>
  <si>
    <t>End</t>
  </si>
  <si>
    <t>Interest</t>
  </si>
  <si>
    <t>PREPARATION of BUDGETS</t>
  </si>
  <si>
    <t>Sales Budget</t>
  </si>
  <si>
    <t>Qtr Total</t>
  </si>
  <si>
    <t>Budgeted Sales (units)</t>
  </si>
  <si>
    <t>Sales @ 10 pu</t>
  </si>
  <si>
    <t>Cash Sales</t>
  </si>
  <si>
    <t>Credit Sales</t>
  </si>
  <si>
    <t>Collection Budget</t>
  </si>
  <si>
    <t>Sales (units)</t>
  </si>
  <si>
    <t>Feb Sales</t>
  </si>
  <si>
    <t>Purchase Budget</t>
  </si>
  <si>
    <t>TOTAL</t>
  </si>
  <si>
    <t>Sufficient inventory to supply 40% of sales in the following month</t>
  </si>
  <si>
    <t>Payment Budget</t>
  </si>
  <si>
    <t>Mar Sales</t>
  </si>
  <si>
    <t>Apr Sales</t>
  </si>
  <si>
    <t>May Sales</t>
  </si>
  <si>
    <t>Jun Sales</t>
  </si>
  <si>
    <t>Pur - Apr Sales</t>
  </si>
  <si>
    <t>Pur - May Sales</t>
  </si>
  <si>
    <t>Pur - Jun Sales</t>
  </si>
  <si>
    <t>Pur - Jul Sales</t>
  </si>
  <si>
    <t>Mar Pur</t>
  </si>
  <si>
    <t>Apr Pur</t>
  </si>
  <si>
    <t>May Pur</t>
  </si>
  <si>
    <t>Jun Pur</t>
  </si>
  <si>
    <t>Pur - Mar Sales</t>
  </si>
  <si>
    <t>CAPEX Budget</t>
  </si>
  <si>
    <t>Mach 1</t>
  </si>
  <si>
    <t>Mach 2</t>
  </si>
  <si>
    <t>Cash Budget</t>
  </si>
  <si>
    <t>Payment to Suppliers</t>
  </si>
  <si>
    <t>Collection from Cust</t>
  </si>
  <si>
    <t>CAPEX Payments</t>
  </si>
  <si>
    <t>Advertising</t>
  </si>
  <si>
    <t>OPEX Payments:</t>
  </si>
  <si>
    <t>Sales Comm</t>
  </si>
  <si>
    <t>Qtrly Dividend</t>
  </si>
  <si>
    <t>Net Cash Flow</t>
  </si>
  <si>
    <t>Interest Payment</t>
  </si>
  <si>
    <t>Closing Balance</t>
  </si>
  <si>
    <t>Opening Balance</t>
  </si>
  <si>
    <t>Budgeted Income Statement</t>
  </si>
  <si>
    <t>Sales</t>
  </si>
  <si>
    <t>Material</t>
  </si>
  <si>
    <t>Depreciation</t>
  </si>
  <si>
    <t>Operating Income</t>
  </si>
  <si>
    <t>Profit Before Tax</t>
  </si>
  <si>
    <t>Budgeted Balance Sheet</t>
  </si>
  <si>
    <t>Mar xx</t>
  </si>
  <si>
    <t>Jun xx</t>
  </si>
  <si>
    <t>Inventory</t>
  </si>
  <si>
    <t>Prepaid Insurance</t>
  </si>
  <si>
    <t>PPE (net)</t>
  </si>
  <si>
    <t>TOTAL Assets</t>
  </si>
  <si>
    <t>Dividends Payable</t>
  </si>
  <si>
    <t>Acc Receivables</t>
  </si>
  <si>
    <t>Acc Payables</t>
  </si>
  <si>
    <t>Retained Earnings</t>
  </si>
  <si>
    <t>Liabilities &amp; Equity</t>
  </si>
  <si>
    <t>Refer: Case 8-33; Pg 411 (Garrison, Noreen &amp; Brewer)</t>
  </si>
  <si>
    <t>Enter Data in shaded cells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</si>
</sst>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_(* #,##0_);_(* \(#,##0\);_(* &quot;-&quot;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36">
    <xf numFmtId="0" fontId="0" fillId="0" borderId="0" xfId="0"/>
    <xf numFmtId="0" fontId="2" fillId="0" borderId="0" xfId="0" applyFont="1"/>
    <xf numFmtId="165" fontId="0" fillId="0" borderId="0" xfId="1" applyFont="1"/>
    <xf numFmtId="166" fontId="0" fillId="0" borderId="0" xfId="1" applyNumberFormat="1" applyFont="1"/>
    <xf numFmtId="9" fontId="0" fillId="0" borderId="0" xfId="0" applyNumberFormat="1"/>
    <xf numFmtId="166" fontId="0" fillId="0" borderId="0" xfId="0" applyNumberFormat="1"/>
    <xf numFmtId="2" fontId="0" fillId="0" borderId="0" xfId="0" applyNumberFormat="1"/>
    <xf numFmtId="3" fontId="0" fillId="0" borderId="0" xfId="2" applyNumberFormat="1" applyFont="1"/>
    <xf numFmtId="0" fontId="0" fillId="0" borderId="0" xfId="0" quotePrefix="1"/>
    <xf numFmtId="0" fontId="3" fillId="0" borderId="0" xfId="0" applyFont="1"/>
    <xf numFmtId="0" fontId="0" fillId="0" borderId="0" xfId="0" applyAlignment="1">
      <alignment horizontal="center"/>
    </xf>
    <xf numFmtId="9" fontId="0" fillId="0" borderId="0" xfId="0" applyNumberFormat="1" applyAlignment="1">
      <alignment horizontal="left"/>
    </xf>
    <xf numFmtId="166" fontId="0" fillId="2" borderId="0" xfId="0" applyNumberFormat="1" applyFill="1"/>
    <xf numFmtId="166" fontId="0" fillId="3" borderId="0" xfId="0" applyNumberFormat="1" applyFill="1"/>
    <xf numFmtId="166" fontId="0" fillId="4" borderId="0" xfId="0" applyNumberFormat="1" applyFill="1"/>
    <xf numFmtId="0" fontId="0" fillId="0" borderId="1" xfId="0" applyBorder="1"/>
    <xf numFmtId="166" fontId="0" fillId="3" borderId="1" xfId="0" applyNumberFormat="1" applyFill="1" applyBorder="1"/>
    <xf numFmtId="166" fontId="0" fillId="0" borderId="1" xfId="0" applyNumberFormat="1" applyBorder="1"/>
    <xf numFmtId="166" fontId="2" fillId="0" borderId="0" xfId="0" applyNumberFormat="1" applyFont="1"/>
    <xf numFmtId="167" fontId="0" fillId="0" borderId="0" xfId="0" applyNumberFormat="1"/>
    <xf numFmtId="166" fontId="0" fillId="2" borderId="1" xfId="0" applyNumberFormat="1" applyFill="1" applyBorder="1"/>
    <xf numFmtId="3" fontId="0" fillId="0" borderId="0" xfId="0" applyNumberFormat="1"/>
    <xf numFmtId="3" fontId="0" fillId="0" borderId="1" xfId="0" applyNumberFormat="1" applyBorder="1"/>
    <xf numFmtId="165" fontId="0" fillId="0" borderId="1" xfId="1" applyFont="1" applyBorder="1"/>
    <xf numFmtId="165" fontId="2" fillId="0" borderId="0" xfId="1" applyFont="1"/>
    <xf numFmtId="3" fontId="2" fillId="0" borderId="0" xfId="0" applyNumberFormat="1" applyFont="1"/>
    <xf numFmtId="0" fontId="0" fillId="0" borderId="0" xfId="0" applyAlignment="1">
      <alignment horizontal="left" indent="3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66" fontId="0" fillId="0" borderId="1" xfId="1" applyNumberFormat="1" applyFont="1" applyBorder="1"/>
    <xf numFmtId="166" fontId="0" fillId="5" borderId="0" xfId="0" applyNumberFormat="1" applyFill="1"/>
    <xf numFmtId="3" fontId="0" fillId="5" borderId="0" xfId="0" applyNumberFormat="1" applyFill="1"/>
    <xf numFmtId="3" fontId="0" fillId="5" borderId="1" xfId="0" applyNumberFormat="1" applyFill="1" applyBorder="1"/>
    <xf numFmtId="165" fontId="0" fillId="5" borderId="0" xfId="0" applyNumberFormat="1" applyFill="1"/>
    <xf numFmtId="166" fontId="0" fillId="5" borderId="1" xfId="0" applyNumberFormat="1" applyFill="1" applyBorder="1"/>
    <xf numFmtId="0" fontId="2" fillId="6" borderId="0" xfId="0" applyFont="1" applyFill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4"/>
  <sheetViews>
    <sheetView tabSelected="1" topLeftCell="A21" workbookViewId="0">
      <selection activeCell="D63" sqref="D63"/>
    </sheetView>
  </sheetViews>
  <sheetFormatPr defaultRowHeight="15" x14ac:dyDescent="0.25"/>
  <cols>
    <col min="1" max="1" width="6" customWidth="1"/>
    <col min="2" max="2" width="11.85546875" customWidth="1"/>
    <col min="3" max="4" width="10.5703125" bestFit="1" customWidth="1"/>
    <col min="5" max="5" width="10.7109375" customWidth="1"/>
    <col min="6" max="6" width="9.7109375" bestFit="1" customWidth="1"/>
    <col min="7" max="7" width="10.5703125" bestFit="1" customWidth="1"/>
    <col min="9" max="9" width="10.5703125" bestFit="1" customWidth="1"/>
    <col min="11" max="13" width="10.5703125" bestFit="1" customWidth="1"/>
  </cols>
  <sheetData>
    <row r="1" spans="1:11" x14ac:dyDescent="0.25">
      <c r="B1" s="9" t="s">
        <v>108</v>
      </c>
    </row>
    <row r="2" spans="1:11" x14ac:dyDescent="0.25">
      <c r="C2" s="10" t="s">
        <v>0</v>
      </c>
      <c r="D2" s="10" t="s">
        <v>1</v>
      </c>
      <c r="E2" s="10" t="s">
        <v>2</v>
      </c>
      <c r="F2" s="10" t="s">
        <v>3</v>
      </c>
      <c r="G2" s="10" t="s">
        <v>4</v>
      </c>
      <c r="H2" s="10" t="s">
        <v>5</v>
      </c>
      <c r="I2" s="10" t="s">
        <v>6</v>
      </c>
      <c r="J2" s="10" t="s">
        <v>7</v>
      </c>
      <c r="K2" s="10" t="s">
        <v>8</v>
      </c>
    </row>
    <row r="3" spans="1:11" x14ac:dyDescent="0.25">
      <c r="B3" s="1" t="s">
        <v>56</v>
      </c>
      <c r="C3" s="3">
        <v>20000</v>
      </c>
      <c r="D3" s="3">
        <v>26000</v>
      </c>
      <c r="E3" s="3">
        <v>40000</v>
      </c>
      <c r="F3" s="3">
        <v>65000</v>
      </c>
      <c r="G3" s="3">
        <v>100000</v>
      </c>
      <c r="H3" s="3">
        <v>50000</v>
      </c>
      <c r="I3" s="3">
        <v>30000</v>
      </c>
      <c r="J3" s="3">
        <v>28000</v>
      </c>
      <c r="K3" s="3">
        <v>25000</v>
      </c>
    </row>
    <row r="6" spans="1:11" x14ac:dyDescent="0.25">
      <c r="B6" s="1" t="s">
        <v>9</v>
      </c>
      <c r="F6" s="1" t="s">
        <v>19</v>
      </c>
    </row>
    <row r="8" spans="1:11" x14ac:dyDescent="0.25">
      <c r="B8" t="s">
        <v>10</v>
      </c>
      <c r="C8" t="s">
        <v>11</v>
      </c>
      <c r="D8" s="4">
        <v>0.04</v>
      </c>
      <c r="F8" t="s">
        <v>25</v>
      </c>
      <c r="G8" s="3">
        <v>100000</v>
      </c>
      <c r="H8" t="s">
        <v>20</v>
      </c>
      <c r="I8" s="3">
        <v>74000</v>
      </c>
    </row>
    <row r="9" spans="1:11" x14ac:dyDescent="0.25">
      <c r="B9" t="s">
        <v>12</v>
      </c>
      <c r="C9" t="s">
        <v>13</v>
      </c>
      <c r="D9" s="3">
        <v>200000</v>
      </c>
      <c r="F9" t="s">
        <v>26</v>
      </c>
      <c r="G9" s="3">
        <v>15000</v>
      </c>
      <c r="H9" t="s">
        <v>21</v>
      </c>
      <c r="I9" s="3">
        <v>346000</v>
      </c>
    </row>
    <row r="10" spans="1:11" x14ac:dyDescent="0.25">
      <c r="C10" t="s">
        <v>14</v>
      </c>
      <c r="D10" s="3">
        <v>18000</v>
      </c>
      <c r="G10" s="3"/>
      <c r="H10" t="s">
        <v>22</v>
      </c>
      <c r="I10" s="3">
        <v>104000</v>
      </c>
    </row>
    <row r="11" spans="1:11" x14ac:dyDescent="0.25">
      <c r="C11" t="s">
        <v>15</v>
      </c>
      <c r="D11" s="3">
        <v>106000</v>
      </c>
      <c r="F11" t="s">
        <v>27</v>
      </c>
      <c r="G11" s="3">
        <v>800000</v>
      </c>
      <c r="H11" t="s">
        <v>23</v>
      </c>
      <c r="I11" s="3">
        <v>21000</v>
      </c>
    </row>
    <row r="12" spans="1:11" x14ac:dyDescent="0.25">
      <c r="C12" t="s">
        <v>16</v>
      </c>
      <c r="D12" s="3">
        <v>7000</v>
      </c>
      <c r="F12" t="s">
        <v>28</v>
      </c>
      <c r="G12" s="29">
        <v>580000</v>
      </c>
      <c r="H12" t="s">
        <v>24</v>
      </c>
      <c r="I12" s="29">
        <v>950000</v>
      </c>
    </row>
    <row r="13" spans="1:11" x14ac:dyDescent="0.25">
      <c r="C13" t="s">
        <v>17</v>
      </c>
      <c r="D13" s="3">
        <v>3000</v>
      </c>
      <c r="G13" s="18">
        <f>SUM(G8:G12)</f>
        <v>1495000</v>
      </c>
      <c r="H13" s="1"/>
      <c r="I13" s="18">
        <f>SUM(I8:I12)</f>
        <v>1495000</v>
      </c>
    </row>
    <row r="14" spans="1:11" x14ac:dyDescent="0.25">
      <c r="C14" t="s">
        <v>18</v>
      </c>
      <c r="D14" s="3">
        <v>14000</v>
      </c>
    </row>
    <row r="16" spans="1:11" x14ac:dyDescent="0.25">
      <c r="A16" s="1" t="s">
        <v>29</v>
      </c>
    </row>
    <row r="17" spans="1:6" x14ac:dyDescent="0.25">
      <c r="A17">
        <v>1</v>
      </c>
      <c r="B17" t="s">
        <v>30</v>
      </c>
      <c r="C17" s="6">
        <v>10</v>
      </c>
      <c r="E17" t="s">
        <v>31</v>
      </c>
      <c r="F17" s="6">
        <v>4</v>
      </c>
    </row>
    <row r="18" spans="1:6" x14ac:dyDescent="0.25">
      <c r="A18">
        <v>2</v>
      </c>
      <c r="B18" t="s">
        <v>60</v>
      </c>
    </row>
    <row r="19" spans="1:6" x14ac:dyDescent="0.25">
      <c r="B19" t="s">
        <v>32</v>
      </c>
    </row>
    <row r="20" spans="1:6" x14ac:dyDescent="0.25">
      <c r="A20">
        <v>3</v>
      </c>
      <c r="B20" t="s">
        <v>33</v>
      </c>
    </row>
    <row r="21" spans="1:6" x14ac:dyDescent="0.25">
      <c r="B21" t="s">
        <v>34</v>
      </c>
      <c r="C21" s="4">
        <v>0.2</v>
      </c>
    </row>
    <row r="22" spans="1:6" x14ac:dyDescent="0.25">
      <c r="B22" t="s">
        <v>35</v>
      </c>
      <c r="C22" s="4">
        <v>0.7</v>
      </c>
    </row>
    <row r="23" spans="1:6" x14ac:dyDescent="0.25">
      <c r="B23" t="s">
        <v>36</v>
      </c>
      <c r="C23" s="4">
        <v>0.1</v>
      </c>
    </row>
    <row r="24" spans="1:6" x14ac:dyDescent="0.25">
      <c r="A24">
        <v>4</v>
      </c>
      <c r="B24" t="s">
        <v>37</v>
      </c>
    </row>
    <row r="25" spans="1:6" x14ac:dyDescent="0.25">
      <c r="A25">
        <v>5</v>
      </c>
      <c r="B25" t="s">
        <v>38</v>
      </c>
    </row>
    <row r="26" spans="1:6" x14ac:dyDescent="0.25">
      <c r="B26" t="s">
        <v>4</v>
      </c>
      <c r="C26" s="7">
        <v>16000</v>
      </c>
    </row>
    <row r="27" spans="1:6" x14ac:dyDescent="0.25">
      <c r="B27" t="s">
        <v>39</v>
      </c>
      <c r="C27" s="7">
        <v>40000</v>
      </c>
    </row>
    <row r="28" spans="1:6" x14ac:dyDescent="0.25">
      <c r="A28">
        <v>6</v>
      </c>
      <c r="B28" t="s">
        <v>40</v>
      </c>
      <c r="C28" s="7">
        <v>15000</v>
      </c>
      <c r="D28" s="8" t="s">
        <v>41</v>
      </c>
    </row>
    <row r="29" spans="1:6" x14ac:dyDescent="0.25">
      <c r="A29">
        <v>7</v>
      </c>
      <c r="B29" t="s">
        <v>42</v>
      </c>
      <c r="C29" s="7">
        <v>50000</v>
      </c>
    </row>
    <row r="30" spans="1:6" x14ac:dyDescent="0.25">
      <c r="A30">
        <v>8</v>
      </c>
      <c r="B30" t="s">
        <v>43</v>
      </c>
      <c r="C30" t="s">
        <v>45</v>
      </c>
    </row>
    <row r="31" spans="1:6" x14ac:dyDescent="0.25">
      <c r="B31" t="s">
        <v>44</v>
      </c>
      <c r="C31" t="s">
        <v>46</v>
      </c>
    </row>
    <row r="32" spans="1:6" x14ac:dyDescent="0.25">
      <c r="B32" t="s">
        <v>47</v>
      </c>
      <c r="C32" s="4">
        <v>0.01</v>
      </c>
    </row>
    <row r="34" spans="1:7" x14ac:dyDescent="0.25">
      <c r="A34" s="9" t="s">
        <v>48</v>
      </c>
      <c r="D34" s="35" t="s">
        <v>109</v>
      </c>
      <c r="E34" s="12"/>
      <c r="F34" s="14"/>
    </row>
    <row r="35" spans="1:7" x14ac:dyDescent="0.25">
      <c r="D35" s="1"/>
      <c r="E35" s="1"/>
      <c r="F35" s="1"/>
      <c r="G35" s="1"/>
    </row>
    <row r="36" spans="1:7" x14ac:dyDescent="0.25">
      <c r="A36">
        <v>1</v>
      </c>
      <c r="B36" s="1" t="s">
        <v>49</v>
      </c>
      <c r="D36" s="1" t="s">
        <v>3</v>
      </c>
      <c r="E36" s="1" t="s">
        <v>4</v>
      </c>
      <c r="F36" s="1" t="s">
        <v>39</v>
      </c>
      <c r="G36" s="1" t="s">
        <v>50</v>
      </c>
    </row>
    <row r="37" spans="1:7" x14ac:dyDescent="0.25">
      <c r="B37" t="s">
        <v>51</v>
      </c>
      <c r="D37" s="30"/>
      <c r="E37" s="30"/>
      <c r="F37" s="30"/>
      <c r="G37" s="5">
        <f>SUM(D37:F37)</f>
        <v>0</v>
      </c>
    </row>
    <row r="38" spans="1:7" x14ac:dyDescent="0.25">
      <c r="B38" t="s">
        <v>52</v>
      </c>
      <c r="D38" s="30"/>
      <c r="E38" s="30"/>
      <c r="F38" s="30"/>
      <c r="G38" s="5">
        <f>SUM(D38:F38)</f>
        <v>0</v>
      </c>
    </row>
    <row r="40" spans="1:7" x14ac:dyDescent="0.25">
      <c r="B40" t="s">
        <v>53</v>
      </c>
      <c r="D40" s="5">
        <v>0</v>
      </c>
      <c r="E40" s="5">
        <v>0</v>
      </c>
      <c r="F40" s="5">
        <v>0</v>
      </c>
      <c r="G40" s="5">
        <f>SUM(D40:F40)</f>
        <v>0</v>
      </c>
    </row>
    <row r="41" spans="1:7" x14ac:dyDescent="0.25">
      <c r="B41" s="1" t="s">
        <v>54</v>
      </c>
      <c r="D41" s="18">
        <f>D38-D40</f>
        <v>0</v>
      </c>
      <c r="E41" s="18">
        <f t="shared" ref="E41:F41" si="0">E38-E40</f>
        <v>0</v>
      </c>
      <c r="F41" s="18">
        <f t="shared" si="0"/>
        <v>0</v>
      </c>
      <c r="G41" s="18">
        <f>SUM(D41:F41)</f>
        <v>0</v>
      </c>
    </row>
    <row r="43" spans="1:7" x14ac:dyDescent="0.25">
      <c r="A43">
        <v>2</v>
      </c>
      <c r="B43" s="1" t="s">
        <v>55</v>
      </c>
      <c r="D43" s="1" t="s">
        <v>3</v>
      </c>
      <c r="E43" s="1" t="s">
        <v>4</v>
      </c>
      <c r="F43" s="1" t="s">
        <v>39</v>
      </c>
      <c r="G43" s="1" t="s">
        <v>50</v>
      </c>
    </row>
    <row r="44" spans="1:7" x14ac:dyDescent="0.25">
      <c r="C44" s="11"/>
    </row>
    <row r="45" spans="1:7" x14ac:dyDescent="0.25">
      <c r="B45" t="s">
        <v>57</v>
      </c>
      <c r="C45" s="5">
        <f t="array" ref="C45:C49">TRANSPOSE(D3:H3)*10</f>
        <v>260000</v>
      </c>
      <c r="D45" s="14"/>
      <c r="G45" s="5">
        <f t="shared" ref="G45:G49" si="1">SUM(D45:F45)</f>
        <v>0</v>
      </c>
    </row>
    <row r="46" spans="1:7" x14ac:dyDescent="0.25">
      <c r="B46" t="s">
        <v>62</v>
      </c>
      <c r="C46" s="5">
        <v>400000</v>
      </c>
      <c r="D46" s="12"/>
      <c r="E46" s="14"/>
      <c r="G46" s="5">
        <f t="shared" si="1"/>
        <v>0</v>
      </c>
    </row>
    <row r="47" spans="1:7" x14ac:dyDescent="0.25">
      <c r="B47" t="s">
        <v>63</v>
      </c>
      <c r="C47" s="5">
        <v>650000</v>
      </c>
      <c r="D47" s="13"/>
      <c r="E47" s="12"/>
      <c r="F47" s="14"/>
      <c r="G47" s="5">
        <f t="shared" si="1"/>
        <v>0</v>
      </c>
    </row>
    <row r="48" spans="1:7" x14ac:dyDescent="0.25">
      <c r="B48" t="s">
        <v>64</v>
      </c>
      <c r="C48" s="5">
        <v>1000000</v>
      </c>
      <c r="E48" s="13"/>
      <c r="F48" s="12"/>
      <c r="G48" s="5">
        <f t="shared" si="1"/>
        <v>0</v>
      </c>
    </row>
    <row r="49" spans="1:7" x14ac:dyDescent="0.25">
      <c r="B49" t="s">
        <v>65</v>
      </c>
      <c r="C49" s="5">
        <v>500000</v>
      </c>
      <c r="D49" s="15"/>
      <c r="E49" s="15"/>
      <c r="F49" s="16"/>
      <c r="G49" s="17">
        <f t="shared" si="1"/>
        <v>0</v>
      </c>
    </row>
    <row r="50" spans="1:7" x14ac:dyDescent="0.25">
      <c r="B50" s="1" t="s">
        <v>59</v>
      </c>
      <c r="D50" s="18">
        <f>SUM(D45:D49)</f>
        <v>0</v>
      </c>
      <c r="E50" s="18">
        <f t="shared" ref="E50:F50" si="2">SUM(E45:E49)</f>
        <v>0</v>
      </c>
      <c r="F50" s="18">
        <f t="shared" si="2"/>
        <v>0</v>
      </c>
      <c r="G50" s="18">
        <f>SUM(G45:G49)</f>
        <v>0</v>
      </c>
    </row>
    <row r="52" spans="1:7" x14ac:dyDescent="0.25">
      <c r="A52">
        <v>3</v>
      </c>
      <c r="B52" s="1" t="s">
        <v>58</v>
      </c>
      <c r="D52" s="1" t="s">
        <v>3</v>
      </c>
      <c r="E52" s="1" t="s">
        <v>4</v>
      </c>
      <c r="F52" s="1" t="s">
        <v>39</v>
      </c>
      <c r="G52" s="1" t="s">
        <v>50</v>
      </c>
    </row>
    <row r="54" spans="1:7" x14ac:dyDescent="0.25">
      <c r="B54" t="s">
        <v>74</v>
      </c>
      <c r="C54" s="19">
        <f t="shared" ref="C54:C57" si="3">C46*0.4</f>
        <v>160000</v>
      </c>
    </row>
    <row r="55" spans="1:7" x14ac:dyDescent="0.25">
      <c r="B55" t="s">
        <v>66</v>
      </c>
      <c r="C55" s="19">
        <f t="shared" si="3"/>
        <v>260000</v>
      </c>
      <c r="D55" s="12"/>
      <c r="G55" s="5">
        <f>SUM(D55:F55)</f>
        <v>0</v>
      </c>
    </row>
    <row r="56" spans="1:7" x14ac:dyDescent="0.25">
      <c r="B56" t="s">
        <v>67</v>
      </c>
      <c r="C56" s="19">
        <f t="shared" si="3"/>
        <v>400000</v>
      </c>
      <c r="D56" s="13"/>
      <c r="E56" s="12"/>
      <c r="G56" s="5">
        <f t="shared" ref="G56:G58" si="4">SUM(D56:F56)</f>
        <v>0</v>
      </c>
    </row>
    <row r="57" spans="1:7" x14ac:dyDescent="0.25">
      <c r="B57" t="s">
        <v>68</v>
      </c>
      <c r="C57" s="19">
        <f t="shared" si="3"/>
        <v>200000</v>
      </c>
      <c r="E57" s="13"/>
      <c r="F57" s="12"/>
      <c r="G57" s="5">
        <f t="shared" si="4"/>
        <v>0</v>
      </c>
    </row>
    <row r="58" spans="1:7" x14ac:dyDescent="0.25">
      <c r="B58" t="s">
        <v>69</v>
      </c>
      <c r="C58" s="5">
        <f>I3*4</f>
        <v>120000</v>
      </c>
      <c r="D58" s="15"/>
      <c r="E58" s="15"/>
      <c r="F58" s="16"/>
      <c r="G58" s="17">
        <f t="shared" si="4"/>
        <v>0</v>
      </c>
    </row>
    <row r="59" spans="1:7" x14ac:dyDescent="0.25">
      <c r="D59" s="18">
        <f>SUM(D55:D58)</f>
        <v>0</v>
      </c>
      <c r="E59" s="18">
        <f t="shared" ref="E59:F59" si="5">SUM(E55:E58)</f>
        <v>0</v>
      </c>
      <c r="F59" s="18">
        <f t="shared" si="5"/>
        <v>0</v>
      </c>
      <c r="G59" s="18">
        <f>SUM(G55:G58)</f>
        <v>0</v>
      </c>
    </row>
    <row r="61" spans="1:7" x14ac:dyDescent="0.25">
      <c r="A61">
        <v>4</v>
      </c>
      <c r="B61" s="1" t="s">
        <v>61</v>
      </c>
      <c r="D61" s="1" t="s">
        <v>3</v>
      </c>
      <c r="E61" s="1" t="s">
        <v>4</v>
      </c>
      <c r="F61" s="1" t="s">
        <v>39</v>
      </c>
      <c r="G61" s="1" t="s">
        <v>50</v>
      </c>
    </row>
    <row r="63" spans="1:7" x14ac:dyDescent="0.25">
      <c r="B63" t="s">
        <v>70</v>
      </c>
      <c r="C63" s="19">
        <f>C54*60%+C55*40%</f>
        <v>200000</v>
      </c>
      <c r="D63" s="14"/>
      <c r="G63" s="5">
        <f>SUM(D63:F63)</f>
        <v>0</v>
      </c>
    </row>
    <row r="64" spans="1:7" x14ac:dyDescent="0.25">
      <c r="B64" t="s">
        <v>71</v>
      </c>
      <c r="C64" s="19">
        <f t="shared" ref="C64:C66" si="6">C55*60%+C56*40%</f>
        <v>316000</v>
      </c>
      <c r="D64" s="12"/>
      <c r="E64" s="14"/>
      <c r="G64" s="5">
        <f t="shared" ref="G64:G66" si="7">SUM(D64:F64)</f>
        <v>0</v>
      </c>
    </row>
    <row r="65" spans="1:7" x14ac:dyDescent="0.25">
      <c r="B65" t="s">
        <v>72</v>
      </c>
      <c r="C65" s="19">
        <f t="shared" si="6"/>
        <v>320000</v>
      </c>
      <c r="E65" s="12"/>
      <c r="F65" s="14"/>
      <c r="G65" s="5">
        <f t="shared" si="7"/>
        <v>0</v>
      </c>
    </row>
    <row r="66" spans="1:7" x14ac:dyDescent="0.25">
      <c r="B66" t="s">
        <v>73</v>
      </c>
      <c r="C66" s="19">
        <f t="shared" si="6"/>
        <v>168000</v>
      </c>
      <c r="D66" s="15"/>
      <c r="E66" s="15"/>
      <c r="F66" s="20"/>
      <c r="G66" s="17">
        <f t="shared" si="7"/>
        <v>0</v>
      </c>
    </row>
    <row r="67" spans="1:7" x14ac:dyDescent="0.25">
      <c r="D67" s="18">
        <f>SUM(D63:D66)</f>
        <v>0</v>
      </c>
      <c r="E67" s="18">
        <f t="shared" ref="E67:G67" si="8">SUM(E63:E66)</f>
        <v>0</v>
      </c>
      <c r="F67" s="18">
        <f t="shared" si="8"/>
        <v>0</v>
      </c>
      <c r="G67" s="18">
        <f t="shared" si="8"/>
        <v>0</v>
      </c>
    </row>
    <row r="69" spans="1:7" x14ac:dyDescent="0.25">
      <c r="A69">
        <v>5</v>
      </c>
      <c r="B69" s="1" t="s">
        <v>75</v>
      </c>
      <c r="D69" s="1" t="s">
        <v>3</v>
      </c>
      <c r="E69" s="1" t="s">
        <v>4</v>
      </c>
      <c r="F69" s="1" t="s">
        <v>39</v>
      </c>
      <c r="G69" s="1" t="s">
        <v>50</v>
      </c>
    </row>
    <row r="71" spans="1:7" x14ac:dyDescent="0.25">
      <c r="B71" t="s">
        <v>76</v>
      </c>
      <c r="D71" s="2">
        <v>0</v>
      </c>
      <c r="E71" s="31"/>
      <c r="F71" s="2">
        <v>0</v>
      </c>
      <c r="G71" s="21">
        <f>SUM(D71:F71)</f>
        <v>0</v>
      </c>
    </row>
    <row r="72" spans="1:7" x14ac:dyDescent="0.25">
      <c r="B72" t="s">
        <v>77</v>
      </c>
      <c r="D72" s="23">
        <v>0</v>
      </c>
      <c r="E72" s="23">
        <v>0</v>
      </c>
      <c r="F72" s="32"/>
      <c r="G72" s="22">
        <f>SUM(D72:F72)</f>
        <v>0</v>
      </c>
    </row>
    <row r="73" spans="1:7" x14ac:dyDescent="0.25">
      <c r="D73" s="24">
        <f>SUM(D71:D72)</f>
        <v>0</v>
      </c>
      <c r="E73" s="25">
        <f>SUM(E71:E72)</f>
        <v>0</v>
      </c>
      <c r="F73" s="25">
        <f t="shared" ref="F73:G73" si="9">SUM(F71:F72)</f>
        <v>0</v>
      </c>
      <c r="G73" s="25">
        <f t="shared" si="9"/>
        <v>0</v>
      </c>
    </row>
    <row r="75" spans="1:7" x14ac:dyDescent="0.25">
      <c r="A75">
        <v>6</v>
      </c>
      <c r="B75" s="1" t="s">
        <v>78</v>
      </c>
      <c r="D75" s="1" t="s">
        <v>3</v>
      </c>
      <c r="E75" s="1" t="s">
        <v>4</v>
      </c>
      <c r="F75" s="1" t="s">
        <v>39</v>
      </c>
      <c r="G75" s="1" t="s">
        <v>50</v>
      </c>
    </row>
    <row r="77" spans="1:7" x14ac:dyDescent="0.25">
      <c r="B77" t="s">
        <v>80</v>
      </c>
      <c r="D77" s="30">
        <f>D50</f>
        <v>0</v>
      </c>
      <c r="E77" s="30">
        <f t="shared" ref="E77:F77" si="10">E50</f>
        <v>0</v>
      </c>
      <c r="F77" s="30">
        <f t="shared" si="10"/>
        <v>0</v>
      </c>
      <c r="G77" s="5">
        <f>SUM(D77:F77)</f>
        <v>0</v>
      </c>
    </row>
    <row r="78" spans="1:7" x14ac:dyDescent="0.25">
      <c r="B78" t="s">
        <v>79</v>
      </c>
      <c r="D78" s="30">
        <f>-D67</f>
        <v>0</v>
      </c>
      <c r="E78" s="30">
        <f t="shared" ref="E78" si="11">-E67</f>
        <v>0</v>
      </c>
      <c r="F78" s="30">
        <f>-F67</f>
        <v>0</v>
      </c>
      <c r="G78" s="5">
        <f>SUM(D78:F78)</f>
        <v>0</v>
      </c>
    </row>
    <row r="79" spans="1:7" x14ac:dyDescent="0.25">
      <c r="B79" t="s">
        <v>83</v>
      </c>
    </row>
    <row r="80" spans="1:7" x14ac:dyDescent="0.25">
      <c r="B80" s="26" t="s">
        <v>84</v>
      </c>
      <c r="D80" s="30">
        <f>-D41*4%</f>
        <v>0</v>
      </c>
      <c r="E80" s="30">
        <f t="shared" ref="E80:F80" si="12">-E41*4%</f>
        <v>0</v>
      </c>
      <c r="F80" s="30">
        <f t="shared" si="12"/>
        <v>0</v>
      </c>
      <c r="G80" s="5">
        <f>SUM(D80:F80)</f>
        <v>0</v>
      </c>
    </row>
    <row r="81" spans="2:7" x14ac:dyDescent="0.25">
      <c r="B81" s="26" t="s">
        <v>82</v>
      </c>
      <c r="D81" s="30">
        <v>0</v>
      </c>
      <c r="E81" s="30">
        <v>0</v>
      </c>
      <c r="F81" s="30">
        <v>0</v>
      </c>
      <c r="G81" s="5">
        <f>SUM(D81:F81)</f>
        <v>0</v>
      </c>
    </row>
    <row r="82" spans="2:7" x14ac:dyDescent="0.25">
      <c r="B82" s="26" t="s">
        <v>14</v>
      </c>
      <c r="D82" s="30">
        <v>0</v>
      </c>
      <c r="E82" s="30">
        <v>0</v>
      </c>
      <c r="F82" s="30">
        <v>0</v>
      </c>
      <c r="G82" s="5">
        <f t="shared" ref="G82:G87" si="13">SUM(D82:F82)</f>
        <v>0</v>
      </c>
    </row>
    <row r="83" spans="2:7" x14ac:dyDescent="0.25">
      <c r="B83" s="26" t="s">
        <v>15</v>
      </c>
      <c r="D83" s="30">
        <v>0</v>
      </c>
      <c r="E83" s="30">
        <v>0</v>
      </c>
      <c r="F83" s="30">
        <v>0</v>
      </c>
      <c r="G83" s="5">
        <f t="shared" si="13"/>
        <v>0</v>
      </c>
    </row>
    <row r="84" spans="2:7" x14ac:dyDescent="0.25">
      <c r="B84" s="26" t="s">
        <v>16</v>
      </c>
      <c r="D84" s="30">
        <v>0</v>
      </c>
      <c r="E84" s="30">
        <v>0</v>
      </c>
      <c r="F84" s="30">
        <v>0</v>
      </c>
      <c r="G84" s="5">
        <f t="shared" si="13"/>
        <v>0</v>
      </c>
    </row>
    <row r="85" spans="2:7" x14ac:dyDescent="0.25">
      <c r="B85" s="26" t="s">
        <v>17</v>
      </c>
      <c r="D85" s="30">
        <v>0</v>
      </c>
      <c r="E85" s="30">
        <v>0</v>
      </c>
      <c r="F85" s="30">
        <v>0</v>
      </c>
      <c r="G85" s="5">
        <f t="shared" si="13"/>
        <v>0</v>
      </c>
    </row>
    <row r="86" spans="2:7" x14ac:dyDescent="0.25">
      <c r="B86" t="s">
        <v>81</v>
      </c>
      <c r="D86" s="33">
        <f>-D73</f>
        <v>0</v>
      </c>
      <c r="E86" s="30">
        <f>-E73</f>
        <v>0</v>
      </c>
      <c r="F86" s="30">
        <f>-F73</f>
        <v>0</v>
      </c>
      <c r="G86" s="5">
        <f>SUM(D86:F86)</f>
        <v>0</v>
      </c>
    </row>
    <row r="87" spans="2:7" x14ac:dyDescent="0.25">
      <c r="B87" t="s">
        <v>85</v>
      </c>
      <c r="D87" s="34">
        <v>0</v>
      </c>
      <c r="E87" s="34">
        <v>0</v>
      </c>
      <c r="F87" s="34">
        <v>0</v>
      </c>
      <c r="G87" s="17">
        <f t="shared" si="13"/>
        <v>0</v>
      </c>
    </row>
    <row r="89" spans="2:7" x14ac:dyDescent="0.25">
      <c r="B89" s="28" t="s">
        <v>86</v>
      </c>
      <c r="C89" s="1"/>
      <c r="D89" s="18">
        <f>SUM(D77:D87)</f>
        <v>0</v>
      </c>
      <c r="E89" s="18">
        <f>SUM(E77:E87)</f>
        <v>0</v>
      </c>
      <c r="F89" s="18">
        <f>SUM(F77:F87)</f>
        <v>0</v>
      </c>
      <c r="G89" s="18">
        <f>SUM(D89:F89)</f>
        <v>0</v>
      </c>
    </row>
    <row r="90" spans="2:7" x14ac:dyDescent="0.25">
      <c r="B90" t="s">
        <v>89</v>
      </c>
      <c r="D90" s="17">
        <f>I8</f>
        <v>74000</v>
      </c>
      <c r="E90" s="17">
        <f>D95</f>
        <v>74000</v>
      </c>
      <c r="F90" s="17">
        <f>E95</f>
        <v>74000</v>
      </c>
      <c r="G90" s="17">
        <f>D90</f>
        <v>74000</v>
      </c>
    </row>
    <row r="91" spans="2:7" x14ac:dyDescent="0.25">
      <c r="D91" s="5">
        <f>SUM(D89:D90)</f>
        <v>74000</v>
      </c>
      <c r="E91" s="5">
        <f t="shared" ref="E91:G91" si="14">SUM(E89:E90)</f>
        <v>74000</v>
      </c>
      <c r="F91" s="5">
        <f t="shared" si="14"/>
        <v>74000</v>
      </c>
      <c r="G91" s="5">
        <f t="shared" si="14"/>
        <v>74000</v>
      </c>
    </row>
    <row r="92" spans="2:7" x14ac:dyDescent="0.25">
      <c r="B92" t="s">
        <v>43</v>
      </c>
      <c r="D92" s="5">
        <f>IF(D91&gt;=50000,0,50000-D91)</f>
        <v>0</v>
      </c>
      <c r="E92" s="5">
        <f>IF(E91&gt;=50000,0,50000-E91)</f>
        <v>0</v>
      </c>
      <c r="F92" s="5">
        <f>IF(F91&gt;=50000,0,50000-F91)</f>
        <v>0</v>
      </c>
      <c r="G92" s="5">
        <f>SUM(D92:F92)</f>
        <v>0</v>
      </c>
    </row>
    <row r="93" spans="2:7" x14ac:dyDescent="0.25">
      <c r="B93" t="s">
        <v>44</v>
      </c>
      <c r="F93" s="5">
        <f>-SUM(D92:E92)</f>
        <v>0</v>
      </c>
      <c r="G93" s="5">
        <f t="shared" ref="G93:G94" si="15">SUM(D93:F93)</f>
        <v>0</v>
      </c>
    </row>
    <row r="94" spans="2:7" x14ac:dyDescent="0.25">
      <c r="B94" t="s">
        <v>87</v>
      </c>
      <c r="D94" s="15"/>
      <c r="E94" s="15"/>
      <c r="F94" s="17">
        <f>-(D92*3%+E92*2%)</f>
        <v>0</v>
      </c>
      <c r="G94" s="17">
        <f t="shared" si="15"/>
        <v>0</v>
      </c>
    </row>
    <row r="95" spans="2:7" x14ac:dyDescent="0.25">
      <c r="B95" s="1" t="s">
        <v>88</v>
      </c>
      <c r="C95" s="1"/>
      <c r="D95" s="18">
        <f>SUM(D91:D94)</f>
        <v>74000</v>
      </c>
      <c r="E95" s="18">
        <f t="shared" ref="E95:F95" si="16">SUM(E91:E94)</f>
        <v>74000</v>
      </c>
      <c r="F95" s="18">
        <f t="shared" si="16"/>
        <v>74000</v>
      </c>
      <c r="G95" s="18">
        <f>F95</f>
        <v>74000</v>
      </c>
    </row>
    <row r="97" spans="2:12" x14ac:dyDescent="0.25">
      <c r="B97" s="1" t="s">
        <v>90</v>
      </c>
      <c r="I97" s="1" t="s">
        <v>96</v>
      </c>
    </row>
    <row r="98" spans="2:12" x14ac:dyDescent="0.25">
      <c r="D98" s="1" t="s">
        <v>3</v>
      </c>
      <c r="E98" s="1" t="s">
        <v>4</v>
      </c>
      <c r="F98" s="1" t="s">
        <v>39</v>
      </c>
      <c r="G98" s="1" t="s">
        <v>50</v>
      </c>
    </row>
    <row r="99" spans="2:12" x14ac:dyDescent="0.25">
      <c r="K99" t="s">
        <v>98</v>
      </c>
      <c r="L99" t="s">
        <v>97</v>
      </c>
    </row>
    <row r="100" spans="2:12" x14ac:dyDescent="0.25">
      <c r="B100" t="s">
        <v>91</v>
      </c>
      <c r="D100" s="30">
        <v>0</v>
      </c>
      <c r="E100" s="30">
        <v>0</v>
      </c>
      <c r="F100" s="30">
        <v>0</v>
      </c>
      <c r="G100" s="5">
        <f>SUM(D100:F100)</f>
        <v>0</v>
      </c>
      <c r="I100" t="s">
        <v>20</v>
      </c>
      <c r="K100" s="30">
        <v>0</v>
      </c>
      <c r="L100" s="5">
        <f>I8</f>
        <v>74000</v>
      </c>
    </row>
    <row r="101" spans="2:12" x14ac:dyDescent="0.25">
      <c r="I101" t="s">
        <v>104</v>
      </c>
      <c r="K101" s="30">
        <v>0</v>
      </c>
      <c r="L101" s="5">
        <f t="shared" ref="L101:L104" si="17">I9</f>
        <v>346000</v>
      </c>
    </row>
    <row r="102" spans="2:12" x14ac:dyDescent="0.25">
      <c r="B102" t="s">
        <v>92</v>
      </c>
      <c r="D102" s="30">
        <v>0</v>
      </c>
      <c r="E102" s="30">
        <v>0</v>
      </c>
      <c r="F102" s="30">
        <v>0</v>
      </c>
      <c r="G102" s="19">
        <f>SUM(D102:F102)</f>
        <v>0</v>
      </c>
      <c r="I102" t="s">
        <v>99</v>
      </c>
      <c r="K102" s="30">
        <v>0</v>
      </c>
      <c r="L102" s="5">
        <f t="shared" si="17"/>
        <v>104000</v>
      </c>
    </row>
    <row r="103" spans="2:12" x14ac:dyDescent="0.25">
      <c r="B103" s="27" t="s">
        <v>84</v>
      </c>
      <c r="D103" s="30">
        <v>0</v>
      </c>
      <c r="E103" s="30">
        <v>0</v>
      </c>
      <c r="F103" s="30">
        <v>0</v>
      </c>
      <c r="G103" s="19">
        <f t="shared" ref="G103:G109" si="18">SUM(D103:F103)</f>
        <v>0</v>
      </c>
      <c r="I103" t="s">
        <v>100</v>
      </c>
      <c r="K103" s="30">
        <v>0</v>
      </c>
      <c r="L103" s="5">
        <f t="shared" si="17"/>
        <v>21000</v>
      </c>
    </row>
    <row r="104" spans="2:12" x14ac:dyDescent="0.25">
      <c r="B104" s="27" t="s">
        <v>82</v>
      </c>
      <c r="D104" s="30">
        <v>0</v>
      </c>
      <c r="E104" s="30">
        <v>0</v>
      </c>
      <c r="F104" s="30">
        <v>0</v>
      </c>
      <c r="G104" s="19">
        <f t="shared" si="18"/>
        <v>0</v>
      </c>
      <c r="I104" t="s">
        <v>101</v>
      </c>
      <c r="K104" s="34">
        <v>0</v>
      </c>
      <c r="L104" s="17">
        <f t="shared" si="17"/>
        <v>950000</v>
      </c>
    </row>
    <row r="105" spans="2:12" x14ac:dyDescent="0.25">
      <c r="B105" s="27" t="s">
        <v>14</v>
      </c>
      <c r="D105" s="30">
        <v>0</v>
      </c>
      <c r="E105" s="30">
        <v>0</v>
      </c>
      <c r="F105" s="30">
        <v>0</v>
      </c>
      <c r="G105" s="19">
        <f t="shared" si="18"/>
        <v>0</v>
      </c>
      <c r="I105" s="1" t="s">
        <v>102</v>
      </c>
      <c r="K105" s="18">
        <f>SUM(K100:K104)</f>
        <v>0</v>
      </c>
      <c r="L105" s="18">
        <f>SUM(L100:L104)</f>
        <v>1495000</v>
      </c>
    </row>
    <row r="106" spans="2:12" x14ac:dyDescent="0.25">
      <c r="B106" s="27" t="s">
        <v>15</v>
      </c>
      <c r="D106" s="30">
        <v>0</v>
      </c>
      <c r="E106" s="30">
        <v>0</v>
      </c>
      <c r="F106" s="30">
        <v>0</v>
      </c>
      <c r="G106" s="19">
        <f t="shared" si="18"/>
        <v>0</v>
      </c>
    </row>
    <row r="107" spans="2:12" x14ac:dyDescent="0.25">
      <c r="B107" s="27" t="s">
        <v>16</v>
      </c>
      <c r="D107" s="30">
        <v>0</v>
      </c>
      <c r="E107" s="30">
        <v>0</v>
      </c>
      <c r="F107" s="30">
        <v>0</v>
      </c>
      <c r="G107" s="19">
        <f t="shared" si="18"/>
        <v>0</v>
      </c>
      <c r="I107" t="s">
        <v>105</v>
      </c>
      <c r="K107" s="30">
        <v>0</v>
      </c>
      <c r="L107" s="5">
        <f>G8</f>
        <v>100000</v>
      </c>
    </row>
    <row r="108" spans="2:12" x14ac:dyDescent="0.25">
      <c r="B108" s="27" t="s">
        <v>17</v>
      </c>
      <c r="D108" s="30">
        <v>0</v>
      </c>
      <c r="E108" s="30">
        <v>0</v>
      </c>
      <c r="F108" s="30">
        <v>0</v>
      </c>
      <c r="G108" s="19">
        <f t="shared" si="18"/>
        <v>0</v>
      </c>
      <c r="I108" t="s">
        <v>103</v>
      </c>
      <c r="K108" s="30">
        <v>0</v>
      </c>
      <c r="L108" s="5">
        <f t="shared" ref="L108:L111" si="19">G9</f>
        <v>15000</v>
      </c>
    </row>
    <row r="109" spans="2:12" x14ac:dyDescent="0.25">
      <c r="B109" s="27" t="s">
        <v>93</v>
      </c>
      <c r="D109" s="30">
        <v>0</v>
      </c>
      <c r="E109" s="30">
        <v>0</v>
      </c>
      <c r="F109" s="30">
        <v>0</v>
      </c>
      <c r="G109" s="19">
        <f t="shared" si="18"/>
        <v>0</v>
      </c>
      <c r="L109" s="5"/>
    </row>
    <row r="110" spans="2:12" x14ac:dyDescent="0.25">
      <c r="D110" s="15"/>
      <c r="E110" s="15"/>
      <c r="F110" s="15"/>
      <c r="G110" s="15"/>
      <c r="I110" t="s">
        <v>27</v>
      </c>
      <c r="K110" s="30">
        <v>0</v>
      </c>
      <c r="L110" s="5">
        <f t="shared" si="19"/>
        <v>800000</v>
      </c>
    </row>
    <row r="111" spans="2:12" x14ac:dyDescent="0.25">
      <c r="B111" s="27" t="s">
        <v>94</v>
      </c>
      <c r="D111" s="18">
        <f>D100-SUM(D102:D109)</f>
        <v>0</v>
      </c>
      <c r="E111" s="18">
        <f t="shared" ref="E111:G111" si="20">E100-SUM(E102:E109)</f>
        <v>0</v>
      </c>
      <c r="F111" s="18">
        <f t="shared" si="20"/>
        <v>0</v>
      </c>
      <c r="G111" s="18">
        <f t="shared" si="20"/>
        <v>0</v>
      </c>
      <c r="I111" t="s">
        <v>106</v>
      </c>
      <c r="K111" s="34">
        <v>0</v>
      </c>
      <c r="L111" s="17">
        <f t="shared" si="19"/>
        <v>580000</v>
      </c>
    </row>
    <row r="112" spans="2:12" x14ac:dyDescent="0.25">
      <c r="I112" s="1" t="s">
        <v>107</v>
      </c>
      <c r="K112" s="18">
        <f>SUM(K107:K111)</f>
        <v>0</v>
      </c>
      <c r="L112" s="18">
        <f>SUM(L107:L111)</f>
        <v>1495000</v>
      </c>
    </row>
    <row r="113" spans="2:7" x14ac:dyDescent="0.25">
      <c r="B113" s="27" t="s">
        <v>47</v>
      </c>
      <c r="D113" s="34">
        <v>0</v>
      </c>
      <c r="E113" s="34">
        <v>0</v>
      </c>
      <c r="F113" s="34">
        <v>0</v>
      </c>
      <c r="G113" s="17">
        <f>SUM(D113:F113)</f>
        <v>0</v>
      </c>
    </row>
    <row r="114" spans="2:7" x14ac:dyDescent="0.25">
      <c r="B114" t="s">
        <v>95</v>
      </c>
      <c r="D114" s="18">
        <f>D111-D113</f>
        <v>0</v>
      </c>
      <c r="E114" s="18">
        <f t="shared" ref="E114:G114" si="21">E111-E113</f>
        <v>0</v>
      </c>
      <c r="F114" s="18">
        <f t="shared" si="21"/>
        <v>0</v>
      </c>
      <c r="G114" s="18">
        <f t="shared" si="21"/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DE09C-DAB9-4C60-9A49-249090BCE5A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Vishwanathan Iyer</dc:creator>
  <cp:lastModifiedBy>Bijesh Singha</cp:lastModifiedBy>
  <dcterms:created xsi:type="dcterms:W3CDTF">2022-09-23T14:07:38Z</dcterms:created>
  <dcterms:modified xsi:type="dcterms:W3CDTF">2025-07-26T09:05:46Z</dcterms:modified>
</cp:coreProperties>
</file>